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Siddhesh Patil\OneDrive\Desktop\"/>
    </mc:Choice>
  </mc:AlternateContent>
  <xr:revisionPtr revIDLastSave="0" documentId="13_ncr:1_{BE657FA7-9996-4A29-97E4-43906184361A}" xr6:coauthVersionLast="47" xr6:coauthVersionMax="47" xr10:uidLastSave="{00000000-0000-0000-0000-000000000000}"/>
  <bookViews>
    <workbookView xWindow="-110" yWindow="-110" windowWidth="19420" windowHeight="10300" firstSheet="3" activeTab="6" xr2:uid="{4BD2D5AD-5869-4614-88A1-90A3A7F86F53}"/>
  </bookViews>
  <sheets>
    <sheet name="Sales by Region" sheetId="2" r:id="rId1"/>
    <sheet name="Sales by Category" sheetId="3" r:id="rId2"/>
    <sheet name="Monthly Sales" sheetId="4" r:id="rId3"/>
    <sheet name="Profit by Category" sheetId="5" r:id="rId4"/>
    <sheet name="Top 5 products by sales" sheetId="8" r:id="rId5"/>
    <sheet name="Dashboard" sheetId="9" r:id="rId6"/>
    <sheet name="Dataset" sheetId="1" r:id="rId7"/>
  </sheets>
  <definedNames>
    <definedName name="Slicer_Month_Year">#N/A</definedName>
    <definedName name="Slicer_Product_Category">#N/A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 i="1" l="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 i="1"/>
  <c r="B32"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 i="1"/>
</calcChain>
</file>

<file path=xl/sharedStrings.xml><?xml version="1.0" encoding="utf-8"?>
<sst xmlns="http://schemas.openxmlformats.org/spreadsheetml/2006/main" count="143" uniqueCount="53">
  <si>
    <t>Order date</t>
  </si>
  <si>
    <t>Region</t>
  </si>
  <si>
    <t>Product Category</t>
  </si>
  <si>
    <t>Product Name</t>
  </si>
  <si>
    <t>Quantity</t>
  </si>
  <si>
    <t>Unit Price</t>
  </si>
  <si>
    <t>Discount</t>
  </si>
  <si>
    <t>Sales Amount</t>
  </si>
  <si>
    <t>Profit</t>
  </si>
  <si>
    <t>North</t>
  </si>
  <si>
    <t>South</t>
  </si>
  <si>
    <t>West</t>
  </si>
  <si>
    <t>East</t>
  </si>
  <si>
    <t>Electronics</t>
  </si>
  <si>
    <t>Furniture</t>
  </si>
  <si>
    <t>Clothing</t>
  </si>
  <si>
    <t>Grocery</t>
  </si>
  <si>
    <t>Personal Care</t>
  </si>
  <si>
    <t>Laptop</t>
  </si>
  <si>
    <t>Office chair</t>
  </si>
  <si>
    <t>Jacket</t>
  </si>
  <si>
    <t>Rice(10kg)</t>
  </si>
  <si>
    <t>Smartphone</t>
  </si>
  <si>
    <t>Sofa</t>
  </si>
  <si>
    <t>Shoes</t>
  </si>
  <si>
    <t>Shampoo</t>
  </si>
  <si>
    <t>Tablet</t>
  </si>
  <si>
    <t>Bed</t>
  </si>
  <si>
    <t>Tea(1kg)</t>
  </si>
  <si>
    <t>Dress</t>
  </si>
  <si>
    <t>Smartwatch</t>
  </si>
  <si>
    <t>Bookshelf</t>
  </si>
  <si>
    <t>Jeans</t>
  </si>
  <si>
    <t>Sugar(5kg)</t>
  </si>
  <si>
    <t>Study Table</t>
  </si>
  <si>
    <t>T-Shirt</t>
  </si>
  <si>
    <t>Perfume</t>
  </si>
  <si>
    <t>Headphones</t>
  </si>
  <si>
    <t>Cooking oil</t>
  </si>
  <si>
    <t>Wheat Flour</t>
  </si>
  <si>
    <t>Month-Year</t>
  </si>
  <si>
    <t>Profit Margin</t>
  </si>
  <si>
    <t>Row Labels</t>
  </si>
  <si>
    <t>Grand Total</t>
  </si>
  <si>
    <t>Sum of Sales Amount</t>
  </si>
  <si>
    <t>Average of Profit Margin</t>
  </si>
  <si>
    <t>Apr-2024</t>
  </si>
  <si>
    <t>Feb-2024</t>
  </si>
  <si>
    <t>Jan-2024</t>
  </si>
  <si>
    <t>Mar-2024</t>
  </si>
  <si>
    <t>(All)</t>
  </si>
  <si>
    <t>Sum of Profit</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</si>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</sst>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F800]dddd\,\ mmmm\ dd\,\ yyyy"/>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18"/>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3">
    <xf numFmtId="0" fontId="0" fillId="0" borderId="0" xfId="0"/>
    <xf numFmtId="164" fontId="0" fillId="0" borderId="0" xfId="0" applyNumberFormat="1"/>
    <xf numFmtId="0" fontId="2" fillId="2" borderId="0" xfId="0" applyFont="1" applyFill="1" applyAlignment="1">
      <alignment horizontal="center" vertical="center"/>
    </xf>
    <xf numFmtId="14" fontId="0" fillId="0" borderId="0" xfId="0" applyNumberFormat="1" applyAlignment="1">
      <alignment horizontal="center" vertical="center"/>
    </xf>
    <xf numFmtId="0" fontId="0" fillId="0" borderId="0" xfId="0" applyAlignment="1">
      <alignment horizontal="center" vertical="center"/>
    </xf>
    <xf numFmtId="9" fontId="0" fillId="0" borderId="0" xfId="1" applyFont="1" applyAlignment="1">
      <alignment horizontal="center" vertical="center"/>
    </xf>
    <xf numFmtId="10" fontId="0" fillId="0" borderId="0" xfId="0" applyNumberFormat="1" applyAlignment="1">
      <alignment horizontal="center" vertical="center"/>
    </xf>
    <xf numFmtId="14" fontId="2" fillId="2" borderId="0" xfId="0" applyNumberFormat="1" applyFont="1" applyFill="1" applyAlignment="1">
      <alignment horizontal="center" vertical="center"/>
    </xf>
    <xf numFmtId="165" fontId="2" fillId="2" borderId="0" xfId="0" applyNumberFormat="1" applyFont="1" applyFill="1" applyAlignment="1">
      <alignment horizontal="center" vertical="center"/>
    </xf>
    <xf numFmtId="165" fontId="0" fillId="0" borderId="0" xfId="0" applyNumberFormat="1" applyAlignment="1">
      <alignment horizontal="center" vertical="center"/>
    </xf>
    <xf numFmtId="49" fontId="2" fillId="2" borderId="0" xfId="0" applyNumberFormat="1" applyFont="1" applyFill="1" applyAlignment="1">
      <alignment horizontal="center" vertical="center"/>
    </xf>
    <xf numFmtId="49" fontId="0" fillId="0" borderId="0" xfId="0" applyNumberFormat="1" applyAlignment="1">
      <alignment horizontal="center" vertical="center"/>
    </xf>
    <xf numFmtId="164" fontId="2" fillId="2" borderId="0" xfId="0" applyNumberFormat="1" applyFont="1" applyFill="1" applyAlignment="1">
      <alignment horizontal="center" vertical="center"/>
    </xf>
    <xf numFmtId="164" fontId="0" fillId="0" borderId="0" xfId="0" applyNumberFormat="1" applyAlignment="1">
      <alignment horizontal="center" vertical="center"/>
    </xf>
    <xf numFmtId="1" fontId="2" fillId="2" borderId="0" xfId="0" applyNumberFormat="1" applyFont="1" applyFill="1" applyAlignment="1">
      <alignment horizontal="center" vertical="center"/>
    </xf>
    <xf numFmtId="1" fontId="0" fillId="0" borderId="0" xfId="0" applyNumberFormat="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pivotButton="1" applyAlignment="1">
      <alignment horizontal="left"/>
    </xf>
    <xf numFmtId="10" fontId="0" fillId="0" borderId="0" xfId="0" applyNumberFormat="1" applyAlignment="1">
      <alignment horizontal="center"/>
    </xf>
    <xf numFmtId="0" fontId="3" fillId="0" borderId="0" xfId="0" applyFont="1" applyAlignment="1">
      <alignment horizontal="center" vertical="center"/>
    </xf>
    <xf numFmtId="0" fontId="0" fillId="0" borderId="0" xfId="0" applyAlignment="1">
      <alignment horizontal="center" vertical="center"/>
    </xf>
  </cellXfs>
  <cellStyles count="2">
    <cellStyle name="Normal" xfId="0" builtinId="0"/>
    <cellStyle name="Percent" xfId="1" builtinId="5"/>
  </cellStyles>
  <dxfs count="5">
    <dxf>
      <alignment horizontal="center"/>
    </dxf>
    <dxf>
      <alignment horizontal="center"/>
    </dxf>
    <dxf>
      <alignment horizontal="left"/>
    </dxf>
    <dxf>
      <alignment horizontal="left"/>
    </dxf>
    <dxf>
      <alignment horizontal="lef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[InsightBoard.xlsx]Sales by Region!PivotTable1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East</c:v>
                </c:pt>
                <c:pt idx="1">
                  <c:v>North</c:v>
                </c:pt>
                <c:pt idx="2">
                  <c:v>South</c:v>
                </c:pt>
                <c:pt idx="3">
                  <c:v>West</c:v>
                </c:pt>
              </c:strCache>
            </c:strRef>
          </c:cat>
          <c:val>
            <c:numRef>
              <c:f>'Sales by Region'!$B$4:$B$8</c:f>
              <c:numCache>
                <c:formatCode>"₹"\ #,##0.00</c:formatCode>
                <c:ptCount val="4"/>
                <c:pt idx="0">
                  <c:v>50025</c:v>
                </c:pt>
                <c:pt idx="1">
                  <c:v>468050</c:v>
                </c:pt>
                <c:pt idx="2">
                  <c:v>306500</c:v>
                </c:pt>
                <c:pt idx="3">
                  <c:v>38600</c:v>
                </c:pt>
              </c:numCache>
            </c:numRef>
          </c:val>
          <c:extLst>
            <c:ext xmlns:c16="http://schemas.microsoft.com/office/drawing/2014/chart" uri="{C3380CC4-5D6E-409C-BE32-E72D297353CC}">
              <c16:uniqueId val="{00000000-DCF0-4668-A15E-581BADBF0236}"/>
            </c:ext>
          </c:extLst>
        </c:ser>
        <c:dLbls>
          <c:showLegendKey val="0"/>
          <c:showVal val="0"/>
          <c:showCatName val="0"/>
          <c:showSerName val="0"/>
          <c:showPercent val="0"/>
          <c:showBubbleSize val="0"/>
        </c:dLbls>
        <c:gapWidth val="219"/>
        <c:overlap val="-27"/>
        <c:axId val="43114640"/>
        <c:axId val="43115120"/>
      </c:barChart>
      <c:catAx>
        <c:axId val="4311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15120"/>
        <c:crosses val="autoZero"/>
        <c:auto val="1"/>
        <c:lblAlgn val="ctr"/>
        <c:lblOffset val="100"/>
        <c:noMultiLvlLbl val="0"/>
      </c:catAx>
      <c:valAx>
        <c:axId val="431151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1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[InsightBoard.xlsx]Sales by Category!PivotTable2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 SalesTrend</a:t>
            </a:r>
            <a:r>
              <a:rPr lang="en-IN" baseline="0"/>
              <a:t> </a:t>
            </a:r>
            <a:endParaRPr lang="en-IN"/>
          </a:p>
        </c:rich>
      </c:tx>
      <c:layout>
        <c:manualLayout>
          <c:xMode val="edge"/>
          <c:yMode val="edge"/>
          <c:x val="0.51806933508311459"/>
          <c:y val="5.35141440653251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by Category'!$B$3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E50-457C-8843-D48C3053DD9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E50-457C-8843-D48C3053DD9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E50-457C-8843-D48C3053DD9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BE50-457C-8843-D48C3053DD98}"/>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BE50-457C-8843-D48C3053DD98}"/>
              </c:ext>
            </c:extLst>
          </c:dPt>
          <c:cat>
            <c:strRef>
              <c:f>'Sales by Category'!$A$4:$A$9</c:f>
              <c:strCache>
                <c:ptCount val="5"/>
                <c:pt idx="0">
                  <c:v>Clothing</c:v>
                </c:pt>
                <c:pt idx="1">
                  <c:v>Electronics</c:v>
                </c:pt>
                <c:pt idx="2">
                  <c:v>Furniture</c:v>
                </c:pt>
                <c:pt idx="3">
                  <c:v>Grocery</c:v>
                </c:pt>
                <c:pt idx="4">
                  <c:v>Personal Care</c:v>
                </c:pt>
              </c:strCache>
            </c:strRef>
          </c:cat>
          <c:val>
            <c:numRef>
              <c:f>'Sales by Category'!$B$4:$B$9</c:f>
              <c:numCache>
                <c:formatCode>0.00%</c:formatCode>
                <c:ptCount val="5"/>
                <c:pt idx="0">
                  <c:v>0.26868679635596932</c:v>
                </c:pt>
                <c:pt idx="1">
                  <c:v>0.19545753588516745</c:v>
                </c:pt>
                <c:pt idx="2">
                  <c:v>0.22122076023391812</c:v>
                </c:pt>
                <c:pt idx="3">
                  <c:v>0.23893518518518522</c:v>
                </c:pt>
                <c:pt idx="4">
                  <c:v>0.30555555555555558</c:v>
                </c:pt>
              </c:numCache>
            </c:numRef>
          </c:val>
          <c:extLst>
            <c:ext xmlns:c16="http://schemas.microsoft.com/office/drawing/2014/chart" uri="{C3380CC4-5D6E-409C-BE32-E72D297353CC}">
              <c16:uniqueId val="{00000000-5D41-438E-9BBE-17609A53040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[InsightBoard.xlsx]Monthly Sales!PivotTable3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Sales'!$B$4</c:f>
              <c:strCache>
                <c:ptCount val="1"/>
                <c:pt idx="0">
                  <c:v>Sum of Sales Amount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Sales'!$A$5:$A$9</c:f>
              <c:strCache>
                <c:ptCount val="4"/>
                <c:pt idx="0">
                  <c:v>Apr-2024</c:v>
                </c:pt>
                <c:pt idx="1">
                  <c:v>Feb-2024</c:v>
                </c:pt>
                <c:pt idx="2">
                  <c:v>Jan-2024</c:v>
                </c:pt>
                <c:pt idx="3">
                  <c:v>Mar-2024</c:v>
                </c:pt>
              </c:strCache>
            </c:strRef>
          </c:cat>
          <c:val>
            <c:numRef>
              <c:f>'Monthly Sales'!$B$5:$B$9</c:f>
              <c:numCache>
                <c:formatCode>"₹"\ #,##0.00</c:formatCode>
                <c:ptCount val="4"/>
                <c:pt idx="0">
                  <c:v>227400</c:v>
                </c:pt>
                <c:pt idx="1">
                  <c:v>185875</c:v>
                </c:pt>
                <c:pt idx="2">
                  <c:v>263900</c:v>
                </c:pt>
                <c:pt idx="3">
                  <c:v>186000</c:v>
                </c:pt>
              </c:numCache>
            </c:numRef>
          </c:val>
          <c:smooth val="0"/>
          <c:extLst>
            <c:ext xmlns:c16="http://schemas.microsoft.com/office/drawing/2014/chart" uri="{C3380CC4-5D6E-409C-BE32-E72D297353CC}">
              <c16:uniqueId val="{00000000-794F-4BEC-A1C8-445DC7D08717}"/>
            </c:ext>
          </c:extLst>
        </c:ser>
        <c:ser>
          <c:idx val="1"/>
          <c:order val="1"/>
          <c:tx>
            <c:strRef>
              <c:f>'Monthly Sales'!$C$4</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Sales'!$A$5:$A$9</c:f>
              <c:strCache>
                <c:ptCount val="4"/>
                <c:pt idx="0">
                  <c:v>Apr-2024</c:v>
                </c:pt>
                <c:pt idx="1">
                  <c:v>Feb-2024</c:v>
                </c:pt>
                <c:pt idx="2">
                  <c:v>Jan-2024</c:v>
                </c:pt>
                <c:pt idx="3">
                  <c:v>Mar-2024</c:v>
                </c:pt>
              </c:strCache>
            </c:strRef>
          </c:cat>
          <c:val>
            <c:numRef>
              <c:f>'Monthly Sales'!$C$5:$C$9</c:f>
              <c:numCache>
                <c:formatCode>"₹"\ #,##0.00</c:formatCode>
                <c:ptCount val="4"/>
                <c:pt idx="0">
                  <c:v>45700</c:v>
                </c:pt>
                <c:pt idx="1">
                  <c:v>40000</c:v>
                </c:pt>
                <c:pt idx="2">
                  <c:v>48900</c:v>
                </c:pt>
                <c:pt idx="3">
                  <c:v>38000</c:v>
                </c:pt>
              </c:numCache>
            </c:numRef>
          </c:val>
          <c:smooth val="0"/>
          <c:extLst>
            <c:ext xmlns:c16="http://schemas.microsoft.com/office/drawing/2014/chart" uri="{C3380CC4-5D6E-409C-BE32-E72D297353CC}">
              <c16:uniqueId val="{00000001-794F-4BEC-A1C8-445DC7D08717}"/>
            </c:ext>
          </c:extLst>
        </c:ser>
        <c:dLbls>
          <c:dLblPos val="t"/>
          <c:showLegendKey val="0"/>
          <c:showVal val="1"/>
          <c:showCatName val="0"/>
          <c:showSerName val="0"/>
          <c:showPercent val="0"/>
          <c:showBubbleSize val="0"/>
        </c:dLbls>
        <c:marker val="1"/>
        <c:smooth val="0"/>
        <c:axId val="1823113664"/>
        <c:axId val="1823097344"/>
      </c:lineChart>
      <c:catAx>
        <c:axId val="182311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097344"/>
        <c:crosses val="autoZero"/>
        <c:auto val="1"/>
        <c:lblAlgn val="ctr"/>
        <c:lblOffset val="100"/>
        <c:noMultiLvlLbl val="0"/>
      </c:catAx>
      <c:valAx>
        <c:axId val="18230973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11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[InsightBoard.xlsx]Profit by Category!PivotTable4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by Category</a:t>
            </a:r>
            <a:endParaRPr lang="en-IN"/>
          </a:p>
        </c:rich>
      </c:tx>
      <c:layout>
        <c:manualLayout>
          <c:xMode val="edge"/>
          <c:yMode val="edge"/>
          <c:x val="0.37763188976377954"/>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Category'!$B$3</c:f>
              <c:strCache>
                <c:ptCount val="1"/>
                <c:pt idx="0">
                  <c:v>Total</c:v>
                </c:pt>
              </c:strCache>
            </c:strRef>
          </c:tx>
          <c:spPr>
            <a:solidFill>
              <a:schemeClr val="accent1"/>
            </a:solidFill>
            <a:ln>
              <a:noFill/>
            </a:ln>
            <a:effectLst/>
          </c:spPr>
          <c:invertIfNegative val="0"/>
          <c:cat>
            <c:strRef>
              <c:f>'Profit by Category'!$A$4:$A$9</c:f>
              <c:strCache>
                <c:ptCount val="5"/>
                <c:pt idx="0">
                  <c:v>Clothing</c:v>
                </c:pt>
                <c:pt idx="1">
                  <c:v>Electronics</c:v>
                </c:pt>
                <c:pt idx="2">
                  <c:v>Furniture</c:v>
                </c:pt>
                <c:pt idx="3">
                  <c:v>Grocery</c:v>
                </c:pt>
                <c:pt idx="4">
                  <c:v>Personal Care</c:v>
                </c:pt>
              </c:strCache>
            </c:strRef>
          </c:cat>
          <c:val>
            <c:numRef>
              <c:f>'Profit by Category'!$B$4:$B$9</c:f>
              <c:numCache>
                <c:formatCode>"₹"\ #,##0.00</c:formatCode>
                <c:ptCount val="5"/>
                <c:pt idx="0">
                  <c:v>14700</c:v>
                </c:pt>
                <c:pt idx="1">
                  <c:v>86000</c:v>
                </c:pt>
                <c:pt idx="2">
                  <c:v>63000</c:v>
                </c:pt>
                <c:pt idx="3">
                  <c:v>5900</c:v>
                </c:pt>
                <c:pt idx="4">
                  <c:v>3000</c:v>
                </c:pt>
              </c:numCache>
            </c:numRef>
          </c:val>
          <c:extLst>
            <c:ext xmlns:c16="http://schemas.microsoft.com/office/drawing/2014/chart" uri="{C3380CC4-5D6E-409C-BE32-E72D297353CC}">
              <c16:uniqueId val="{00000000-43F8-4C95-8924-69CD43FF47DE}"/>
            </c:ext>
          </c:extLst>
        </c:ser>
        <c:dLbls>
          <c:showLegendKey val="0"/>
          <c:showVal val="0"/>
          <c:showCatName val="0"/>
          <c:showSerName val="0"/>
          <c:showPercent val="0"/>
          <c:showBubbleSize val="0"/>
        </c:dLbls>
        <c:gapWidth val="182"/>
        <c:axId val="119073296"/>
        <c:axId val="119077616"/>
      </c:barChart>
      <c:catAx>
        <c:axId val="119073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77616"/>
        <c:crosses val="autoZero"/>
        <c:auto val="1"/>
        <c:lblAlgn val="ctr"/>
        <c:lblOffset val="100"/>
        <c:noMultiLvlLbl val="0"/>
      </c:catAx>
      <c:valAx>
        <c:axId val="119077616"/>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73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[InsightBoard.xlsx]Top 5 products by sales!PivotTable5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products by sales'!$B$3</c:f>
              <c:strCache>
                <c:ptCount val="1"/>
                <c:pt idx="0">
                  <c:v>Total</c:v>
                </c:pt>
              </c:strCache>
            </c:strRef>
          </c:tx>
          <c:spPr>
            <a:solidFill>
              <a:schemeClr val="accent1"/>
            </a:solidFill>
            <a:ln>
              <a:noFill/>
            </a:ln>
            <a:effectLst/>
          </c:spPr>
          <c:invertIfNegative val="0"/>
          <c:cat>
            <c:strRef>
              <c:f>'Top 5 products by sales'!$A$4:$A$9</c:f>
              <c:strCache>
                <c:ptCount val="5"/>
                <c:pt idx="0">
                  <c:v>Smartphone</c:v>
                </c:pt>
                <c:pt idx="1">
                  <c:v>Laptop</c:v>
                </c:pt>
                <c:pt idx="2">
                  <c:v>Tablet</c:v>
                </c:pt>
                <c:pt idx="3">
                  <c:v>Bed</c:v>
                </c:pt>
                <c:pt idx="4">
                  <c:v>Sofa</c:v>
                </c:pt>
              </c:strCache>
            </c:strRef>
          </c:cat>
          <c:val>
            <c:numRef>
              <c:f>'Top 5 products by sales'!$B$4:$B$9</c:f>
              <c:numCache>
                <c:formatCode>"₹"\ #,##0.00</c:formatCode>
                <c:ptCount val="5"/>
                <c:pt idx="0">
                  <c:v>151000</c:v>
                </c:pt>
                <c:pt idx="1">
                  <c:v>145000</c:v>
                </c:pt>
                <c:pt idx="2">
                  <c:v>128250</c:v>
                </c:pt>
                <c:pt idx="3">
                  <c:v>121000</c:v>
                </c:pt>
                <c:pt idx="4">
                  <c:v>120000</c:v>
                </c:pt>
              </c:numCache>
            </c:numRef>
          </c:val>
          <c:extLst>
            <c:ext xmlns:c16="http://schemas.microsoft.com/office/drawing/2014/chart" uri="{C3380CC4-5D6E-409C-BE32-E72D297353CC}">
              <c16:uniqueId val="{00000000-1DDE-4FA6-82F9-CEA4BB06B799}"/>
            </c:ext>
          </c:extLst>
        </c:ser>
        <c:dLbls>
          <c:showLegendKey val="0"/>
          <c:showVal val="0"/>
          <c:showCatName val="0"/>
          <c:showSerName val="0"/>
          <c:showPercent val="0"/>
          <c:showBubbleSize val="0"/>
        </c:dLbls>
        <c:gapWidth val="219"/>
        <c:overlap val="-27"/>
        <c:axId val="130014144"/>
        <c:axId val="130011264"/>
      </c:barChart>
      <c:catAx>
        <c:axId val="13001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11264"/>
        <c:crosses val="autoZero"/>
        <c:auto val="1"/>
        <c:lblAlgn val="ctr"/>
        <c:lblOffset val="100"/>
        <c:noMultiLvlLbl val="0"/>
      </c:catAx>
      <c:valAx>
        <c:axId val="1300112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14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[InsightBoard.xlsx]Sales by Region!PivotTable1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East</c:v>
                </c:pt>
                <c:pt idx="1">
                  <c:v>North</c:v>
                </c:pt>
                <c:pt idx="2">
                  <c:v>South</c:v>
                </c:pt>
                <c:pt idx="3">
                  <c:v>West</c:v>
                </c:pt>
              </c:strCache>
            </c:strRef>
          </c:cat>
          <c:val>
            <c:numRef>
              <c:f>'Sales by Region'!$B$4:$B$8</c:f>
              <c:numCache>
                <c:formatCode>"₹"\ #,##0.00</c:formatCode>
                <c:ptCount val="4"/>
                <c:pt idx="0">
                  <c:v>50025</c:v>
                </c:pt>
                <c:pt idx="1">
                  <c:v>468050</c:v>
                </c:pt>
                <c:pt idx="2">
                  <c:v>306500</c:v>
                </c:pt>
                <c:pt idx="3">
                  <c:v>38600</c:v>
                </c:pt>
              </c:numCache>
            </c:numRef>
          </c:val>
          <c:extLst>
            <c:ext xmlns:c16="http://schemas.microsoft.com/office/drawing/2014/chart" uri="{C3380CC4-5D6E-409C-BE32-E72D297353CC}">
              <c16:uniqueId val="{00000000-13CD-4099-80FF-D207C8FDB7D4}"/>
            </c:ext>
          </c:extLst>
        </c:ser>
        <c:dLbls>
          <c:showLegendKey val="0"/>
          <c:showVal val="0"/>
          <c:showCatName val="0"/>
          <c:showSerName val="0"/>
          <c:showPercent val="0"/>
          <c:showBubbleSize val="0"/>
        </c:dLbls>
        <c:gapWidth val="219"/>
        <c:overlap val="-27"/>
        <c:axId val="43114640"/>
        <c:axId val="43115120"/>
      </c:barChart>
      <c:catAx>
        <c:axId val="4311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15120"/>
        <c:crosses val="autoZero"/>
        <c:auto val="1"/>
        <c:lblAlgn val="ctr"/>
        <c:lblOffset val="100"/>
        <c:noMultiLvlLbl val="0"/>
      </c:catAx>
      <c:valAx>
        <c:axId val="431151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1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[InsightBoard.xlsx]Sales by Category!PivotTable2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Sales Trend</a:t>
            </a:r>
            <a:endParaRPr lang="en-US"/>
          </a:p>
        </c:rich>
      </c:tx>
      <c:layout>
        <c:manualLayout>
          <c:xMode val="edge"/>
          <c:yMode val="edge"/>
          <c:x val="0.47580321690557908"/>
          <c:y val="0.1063556167226947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by Category'!$B$3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007-4F57-83FB-7FD2FD5635C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007-4F57-83FB-7FD2FD5635C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007-4F57-83FB-7FD2FD5635C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007-4F57-83FB-7FD2FD5635C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007-4F57-83FB-7FD2FD5635C3}"/>
              </c:ext>
            </c:extLst>
          </c:dPt>
          <c:cat>
            <c:strRef>
              <c:f>'Sales by Category'!$A$4:$A$9</c:f>
              <c:strCache>
                <c:ptCount val="5"/>
                <c:pt idx="0">
                  <c:v>Clothing</c:v>
                </c:pt>
                <c:pt idx="1">
                  <c:v>Electronics</c:v>
                </c:pt>
                <c:pt idx="2">
                  <c:v>Furniture</c:v>
                </c:pt>
                <c:pt idx="3">
                  <c:v>Grocery</c:v>
                </c:pt>
                <c:pt idx="4">
                  <c:v>Personal Care</c:v>
                </c:pt>
              </c:strCache>
            </c:strRef>
          </c:cat>
          <c:val>
            <c:numRef>
              <c:f>'Sales by Category'!$B$4:$B$9</c:f>
              <c:numCache>
                <c:formatCode>0.00%</c:formatCode>
                <c:ptCount val="5"/>
                <c:pt idx="0">
                  <c:v>0.26868679635596932</c:v>
                </c:pt>
                <c:pt idx="1">
                  <c:v>0.19545753588516745</c:v>
                </c:pt>
                <c:pt idx="2">
                  <c:v>0.22122076023391812</c:v>
                </c:pt>
                <c:pt idx="3">
                  <c:v>0.23893518518518522</c:v>
                </c:pt>
                <c:pt idx="4">
                  <c:v>0.30555555555555558</c:v>
                </c:pt>
              </c:numCache>
            </c:numRef>
          </c:val>
          <c:extLst>
            <c:ext xmlns:c16="http://schemas.microsoft.com/office/drawing/2014/chart" uri="{C3380CC4-5D6E-409C-BE32-E72D297353CC}">
              <c16:uniqueId val="{0000000A-A007-4F57-83FB-7FD2FD5635C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[InsightBoard.xlsx]Monthly Sales!PivotTable3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Sales'!$B$4</c:f>
              <c:strCache>
                <c:ptCount val="1"/>
                <c:pt idx="0">
                  <c:v>Sum of Sales Amount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Sales'!$A$5:$A$9</c:f>
              <c:strCache>
                <c:ptCount val="4"/>
                <c:pt idx="0">
                  <c:v>Apr-2024</c:v>
                </c:pt>
                <c:pt idx="1">
                  <c:v>Feb-2024</c:v>
                </c:pt>
                <c:pt idx="2">
                  <c:v>Jan-2024</c:v>
                </c:pt>
                <c:pt idx="3">
                  <c:v>Mar-2024</c:v>
                </c:pt>
              </c:strCache>
            </c:strRef>
          </c:cat>
          <c:val>
            <c:numRef>
              <c:f>'Monthly Sales'!$B$5:$B$9</c:f>
              <c:numCache>
                <c:formatCode>"₹"\ #,##0.00</c:formatCode>
                <c:ptCount val="4"/>
                <c:pt idx="0">
                  <c:v>227400</c:v>
                </c:pt>
                <c:pt idx="1">
                  <c:v>185875</c:v>
                </c:pt>
                <c:pt idx="2">
                  <c:v>263900</c:v>
                </c:pt>
                <c:pt idx="3">
                  <c:v>186000</c:v>
                </c:pt>
              </c:numCache>
            </c:numRef>
          </c:val>
          <c:smooth val="0"/>
          <c:extLst>
            <c:ext xmlns:c16="http://schemas.microsoft.com/office/drawing/2014/chart" uri="{C3380CC4-5D6E-409C-BE32-E72D297353CC}">
              <c16:uniqueId val="{00000000-531E-4E91-894C-2063A8487EC2}"/>
            </c:ext>
          </c:extLst>
        </c:ser>
        <c:ser>
          <c:idx val="1"/>
          <c:order val="1"/>
          <c:tx>
            <c:strRef>
              <c:f>'Monthly Sales'!$C$4</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Sales'!$A$5:$A$9</c:f>
              <c:strCache>
                <c:ptCount val="4"/>
                <c:pt idx="0">
                  <c:v>Apr-2024</c:v>
                </c:pt>
                <c:pt idx="1">
                  <c:v>Feb-2024</c:v>
                </c:pt>
                <c:pt idx="2">
                  <c:v>Jan-2024</c:v>
                </c:pt>
                <c:pt idx="3">
                  <c:v>Mar-2024</c:v>
                </c:pt>
              </c:strCache>
            </c:strRef>
          </c:cat>
          <c:val>
            <c:numRef>
              <c:f>'Monthly Sales'!$C$5:$C$9</c:f>
              <c:numCache>
                <c:formatCode>"₹"\ #,##0.00</c:formatCode>
                <c:ptCount val="4"/>
                <c:pt idx="0">
                  <c:v>45700</c:v>
                </c:pt>
                <c:pt idx="1">
                  <c:v>40000</c:v>
                </c:pt>
                <c:pt idx="2">
                  <c:v>48900</c:v>
                </c:pt>
                <c:pt idx="3">
                  <c:v>38000</c:v>
                </c:pt>
              </c:numCache>
            </c:numRef>
          </c:val>
          <c:smooth val="0"/>
          <c:extLst>
            <c:ext xmlns:c16="http://schemas.microsoft.com/office/drawing/2014/chart" uri="{C3380CC4-5D6E-409C-BE32-E72D297353CC}">
              <c16:uniqueId val="{00000001-531E-4E91-894C-2063A8487EC2}"/>
            </c:ext>
          </c:extLst>
        </c:ser>
        <c:dLbls>
          <c:dLblPos val="t"/>
          <c:showLegendKey val="0"/>
          <c:showVal val="1"/>
          <c:showCatName val="0"/>
          <c:showSerName val="0"/>
          <c:showPercent val="0"/>
          <c:showBubbleSize val="0"/>
        </c:dLbls>
        <c:marker val="1"/>
        <c:smooth val="0"/>
        <c:axId val="1823113664"/>
        <c:axId val="1823097344"/>
      </c:lineChart>
      <c:catAx>
        <c:axId val="182311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097344"/>
        <c:crosses val="autoZero"/>
        <c:auto val="1"/>
        <c:lblAlgn val="ctr"/>
        <c:lblOffset val="100"/>
        <c:noMultiLvlLbl val="0"/>
      </c:catAx>
      <c:valAx>
        <c:axId val="18230973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11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[InsightBoard.xlsx]Profit by Category!PivotTable4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by Category</a:t>
            </a:r>
            <a:endParaRPr lang="en-IN"/>
          </a:p>
        </c:rich>
      </c:tx>
      <c:layout>
        <c:manualLayout>
          <c:xMode val="edge"/>
          <c:yMode val="edge"/>
          <c:x val="0.37763188976377954"/>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Category'!$B$3</c:f>
              <c:strCache>
                <c:ptCount val="1"/>
                <c:pt idx="0">
                  <c:v>Total</c:v>
                </c:pt>
              </c:strCache>
            </c:strRef>
          </c:tx>
          <c:spPr>
            <a:solidFill>
              <a:schemeClr val="accent1"/>
            </a:solidFill>
            <a:ln>
              <a:noFill/>
            </a:ln>
            <a:effectLst/>
          </c:spPr>
          <c:invertIfNegative val="0"/>
          <c:cat>
            <c:strRef>
              <c:f>'Profit by Category'!$A$4:$A$9</c:f>
              <c:strCache>
                <c:ptCount val="5"/>
                <c:pt idx="0">
                  <c:v>Clothing</c:v>
                </c:pt>
                <c:pt idx="1">
                  <c:v>Electronics</c:v>
                </c:pt>
                <c:pt idx="2">
                  <c:v>Furniture</c:v>
                </c:pt>
                <c:pt idx="3">
                  <c:v>Grocery</c:v>
                </c:pt>
                <c:pt idx="4">
                  <c:v>Personal Care</c:v>
                </c:pt>
              </c:strCache>
            </c:strRef>
          </c:cat>
          <c:val>
            <c:numRef>
              <c:f>'Profit by Category'!$B$4:$B$9</c:f>
              <c:numCache>
                <c:formatCode>"₹"\ #,##0.00</c:formatCode>
                <c:ptCount val="5"/>
                <c:pt idx="0">
                  <c:v>14700</c:v>
                </c:pt>
                <c:pt idx="1">
                  <c:v>86000</c:v>
                </c:pt>
                <c:pt idx="2">
                  <c:v>63000</c:v>
                </c:pt>
                <c:pt idx="3">
                  <c:v>5900</c:v>
                </c:pt>
                <c:pt idx="4">
                  <c:v>3000</c:v>
                </c:pt>
              </c:numCache>
            </c:numRef>
          </c:val>
          <c:extLst>
            <c:ext xmlns:c16="http://schemas.microsoft.com/office/drawing/2014/chart" uri="{C3380CC4-5D6E-409C-BE32-E72D297353CC}">
              <c16:uniqueId val="{00000000-B7DC-4B77-B79C-C88B27383520}"/>
            </c:ext>
          </c:extLst>
        </c:ser>
        <c:dLbls>
          <c:showLegendKey val="0"/>
          <c:showVal val="0"/>
          <c:showCatName val="0"/>
          <c:showSerName val="0"/>
          <c:showPercent val="0"/>
          <c:showBubbleSize val="0"/>
        </c:dLbls>
        <c:gapWidth val="182"/>
        <c:axId val="119073296"/>
        <c:axId val="119077616"/>
      </c:barChart>
      <c:catAx>
        <c:axId val="119073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77616"/>
        <c:crosses val="autoZero"/>
        <c:auto val="1"/>
        <c:lblAlgn val="ctr"/>
        <c:lblOffset val="100"/>
        <c:noMultiLvlLbl val="0"/>
      </c:catAx>
      <c:valAx>
        <c:axId val="119077616"/>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73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[InsightBoard.xlsx]Top 5 products by sales!PivotTable5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products by sales'!$B$3</c:f>
              <c:strCache>
                <c:ptCount val="1"/>
                <c:pt idx="0">
                  <c:v>Total</c:v>
                </c:pt>
              </c:strCache>
            </c:strRef>
          </c:tx>
          <c:spPr>
            <a:solidFill>
              <a:schemeClr val="accent1"/>
            </a:solidFill>
            <a:ln>
              <a:noFill/>
            </a:ln>
            <a:effectLst/>
          </c:spPr>
          <c:invertIfNegative val="0"/>
          <c:cat>
            <c:strRef>
              <c:f>'Top 5 products by sales'!$A$4:$A$9</c:f>
              <c:strCache>
                <c:ptCount val="5"/>
                <c:pt idx="0">
                  <c:v>Smartphone</c:v>
                </c:pt>
                <c:pt idx="1">
                  <c:v>Laptop</c:v>
                </c:pt>
                <c:pt idx="2">
                  <c:v>Tablet</c:v>
                </c:pt>
                <c:pt idx="3">
                  <c:v>Bed</c:v>
                </c:pt>
                <c:pt idx="4">
                  <c:v>Sofa</c:v>
                </c:pt>
              </c:strCache>
            </c:strRef>
          </c:cat>
          <c:val>
            <c:numRef>
              <c:f>'Top 5 products by sales'!$B$4:$B$9</c:f>
              <c:numCache>
                <c:formatCode>"₹"\ #,##0.00</c:formatCode>
                <c:ptCount val="5"/>
                <c:pt idx="0">
                  <c:v>151000</c:v>
                </c:pt>
                <c:pt idx="1">
                  <c:v>145000</c:v>
                </c:pt>
                <c:pt idx="2">
                  <c:v>128250</c:v>
                </c:pt>
                <c:pt idx="3">
                  <c:v>121000</c:v>
                </c:pt>
                <c:pt idx="4">
                  <c:v>120000</c:v>
                </c:pt>
              </c:numCache>
            </c:numRef>
          </c:val>
          <c:extLst>
            <c:ext xmlns:c16="http://schemas.microsoft.com/office/drawing/2014/chart" uri="{C3380CC4-5D6E-409C-BE32-E72D297353CC}">
              <c16:uniqueId val="{00000000-C33A-41DD-9AE7-B0593D14FB0F}"/>
            </c:ext>
          </c:extLst>
        </c:ser>
        <c:dLbls>
          <c:showLegendKey val="0"/>
          <c:showVal val="0"/>
          <c:showCatName val="0"/>
          <c:showSerName val="0"/>
          <c:showPercent val="0"/>
          <c:showBubbleSize val="0"/>
        </c:dLbls>
        <c:gapWidth val="219"/>
        <c:overlap val="-27"/>
        <c:axId val="130014144"/>
        <c:axId val="130011264"/>
      </c:barChart>
      <c:catAx>
        <c:axId val="13001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11264"/>
        <c:crosses val="autoZero"/>
        <c:auto val="1"/>
        <c:lblAlgn val="ctr"/>
        <c:lblOffset val="100"/>
        <c:noMultiLvlLbl val="0"/>
      </c:catAx>
      <c:valAx>
        <c:axId val="1300112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14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193675</xdr:colOff>
      <xdr:row>2</xdr:row>
      <xdr:rowOff>82550</xdr:rowOff>
    </xdr:from>
    <xdr:to>
      <xdr:col>11</xdr:col>
      <xdr:colOff>498475</xdr:colOff>
      <xdr:row>17</xdr:row>
      <xdr:rowOff>63500</xdr:rowOff>
    </xdr:to>
    <xdr:graphicFrame macro="">
      <xdr:nvGraphicFramePr>
        <xdr:cNvPr id="3" name="Chart 2">
          <a:extLst>
            <a:ext uri="{FF2B5EF4-FFF2-40B4-BE49-F238E27FC236}">
              <a16:creationId xmlns:a16="http://schemas.microsoft.com/office/drawing/2014/main" id="{E5B02096-EA97-8B47-69B8-9B11C48C65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231775</xdr:colOff>
      <xdr:row>2</xdr:row>
      <xdr:rowOff>82550</xdr:rowOff>
    </xdr:from>
    <xdr:to>
      <xdr:col>10</xdr:col>
      <xdr:colOff>536575</xdr:colOff>
      <xdr:row>15</xdr:row>
      <xdr:rowOff>88900</xdr:rowOff>
    </xdr:to>
    <xdr:graphicFrame macro="">
      <xdr:nvGraphicFramePr>
        <xdr:cNvPr id="2" name="Chart 1">
          <a:extLst>
            <a:ext uri="{FF2B5EF4-FFF2-40B4-BE49-F238E27FC236}">
              <a16:creationId xmlns:a16="http://schemas.microsoft.com/office/drawing/2014/main" id="{362FAB8B-B1DC-42C0-021E-FC1D86D719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307975</xdr:colOff>
      <xdr:row>1</xdr:row>
      <xdr:rowOff>127000</xdr:rowOff>
    </xdr:from>
    <xdr:to>
      <xdr:col>12</xdr:col>
      <xdr:colOff>3175</xdr:colOff>
      <xdr:row>16</xdr:row>
      <xdr:rowOff>107950</xdr:rowOff>
    </xdr:to>
    <xdr:graphicFrame macro="">
      <xdr:nvGraphicFramePr>
        <xdr:cNvPr id="3" name="Chart 2">
          <a:extLst>
            <a:ext uri="{FF2B5EF4-FFF2-40B4-BE49-F238E27FC236}">
              <a16:creationId xmlns:a16="http://schemas.microsoft.com/office/drawing/2014/main" id="{4B1F18DD-A9F8-DE39-F461-C53F8853FF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92075</xdr:colOff>
      <xdr:row>2</xdr:row>
      <xdr:rowOff>95250</xdr:rowOff>
    </xdr:from>
    <xdr:to>
      <xdr:col>12</xdr:col>
      <xdr:colOff>396875</xdr:colOff>
      <xdr:row>17</xdr:row>
      <xdr:rowOff>76200</xdr:rowOff>
    </xdr:to>
    <xdr:graphicFrame macro="">
      <xdr:nvGraphicFramePr>
        <xdr:cNvPr id="2" name="Chart 1">
          <a:extLst>
            <a:ext uri="{FF2B5EF4-FFF2-40B4-BE49-F238E27FC236}">
              <a16:creationId xmlns:a16="http://schemas.microsoft.com/office/drawing/2014/main" id="{2D837BFB-7FDC-40E8-8A26-F0DB0D931D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193675</xdr:colOff>
      <xdr:row>2</xdr:row>
      <xdr:rowOff>82550</xdr:rowOff>
    </xdr:from>
    <xdr:to>
      <xdr:col>11</xdr:col>
      <xdr:colOff>498475</xdr:colOff>
      <xdr:row>17</xdr:row>
      <xdr:rowOff>63500</xdr:rowOff>
    </xdr:to>
    <xdr:graphicFrame macro="">
      <xdr:nvGraphicFramePr>
        <xdr:cNvPr id="2" name="Chart 1">
          <a:extLst>
            <a:ext uri="{FF2B5EF4-FFF2-40B4-BE49-F238E27FC236}">
              <a16:creationId xmlns:a16="http://schemas.microsoft.com/office/drawing/2014/main" id="{28CA34AF-4F64-3D02-81A2-004A660F68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120650</xdr:colOff>
      <xdr:row>3</xdr:row>
      <xdr:rowOff>19050</xdr:rowOff>
    </xdr:from>
    <xdr:to>
      <xdr:col>6</xdr:col>
      <xdr:colOff>234950</xdr:colOff>
      <xdr:row>14</xdr:row>
      <xdr:rowOff>171450</xdr:rowOff>
    </xdr:to>
    <xdr:graphicFrame macro="">
      <xdr:nvGraphicFramePr>
        <xdr:cNvPr id="2" name="Chart 1">
          <a:extLst>
            <a:ext uri="{FF2B5EF4-FFF2-40B4-BE49-F238E27FC236}">
              <a16:creationId xmlns:a16="http://schemas.microsoft.com/office/drawing/2014/main" id="{EE639E9A-5C97-4360-A381-1E58F70072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374650</xdr:colOff>
      <xdr:row>3</xdr:row>
      <xdr:rowOff>12700</xdr:rowOff>
    </xdr:from>
    <xdr:to>
      <xdr:col>12</xdr:col>
      <xdr:colOff>431800</xdr:colOff>
      <xdr:row>15</xdr:row>
      <xdr:rowOff>19050</xdr:rowOff>
    </xdr:to>
    <xdr:graphicFrame macro="">
      <xdr:nvGraphicFramePr>
        <xdr:cNvPr id="3" name="Chart 2">
          <a:extLst>
            <a:ext uri="{FF2B5EF4-FFF2-40B4-BE49-F238E27FC236}">
              <a16:creationId xmlns:a16="http://schemas.microsoft.com/office/drawing/2014/main" id="{A7AD6D74-3982-4A38-974D-1AC94E63AC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558800</xdr:colOff>
      <xdr:row>3</xdr:row>
      <xdr:rowOff>6350</xdr:rowOff>
    </xdr:from>
    <xdr:to>
      <xdr:col>19</xdr:col>
      <xdr:colOff>107950</xdr:colOff>
      <xdr:row>15</xdr:row>
      <xdr:rowOff>25400</xdr:rowOff>
    </xdr:to>
    <xdr:graphicFrame macro="">
      <xdr:nvGraphicFramePr>
        <xdr:cNvPr id="4" name="Chart 3">
          <a:extLst>
            <a:ext uri="{FF2B5EF4-FFF2-40B4-BE49-F238E27FC236}">
              <a16:creationId xmlns:a16="http://schemas.microsoft.com/office/drawing/2014/main" id="{B9F5825C-7C94-488D-950F-7E67A3B6C0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133350</xdr:colOff>
      <xdr:row>15</xdr:row>
      <xdr:rowOff>165100</xdr:rowOff>
    </xdr:from>
    <xdr:to>
      <xdr:col>6</xdr:col>
      <xdr:colOff>241300</xdr:colOff>
      <xdr:row>30</xdr:row>
      <xdr:rowOff>146050</xdr:rowOff>
    </xdr:to>
    <xdr:graphicFrame macro="">
      <xdr:nvGraphicFramePr>
        <xdr:cNvPr id="5" name="Chart 4">
          <a:extLst>
            <a:ext uri="{FF2B5EF4-FFF2-40B4-BE49-F238E27FC236}">
              <a16:creationId xmlns:a16="http://schemas.microsoft.com/office/drawing/2014/main" id="{4264E7F4-A0D7-4DB0-BC88-83DE33379E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368300</xdr:colOff>
      <xdr:row>16</xdr:row>
      <xdr:rowOff>0</xdr:rowOff>
    </xdr:from>
    <xdr:to>
      <xdr:col>12</xdr:col>
      <xdr:colOff>457200</xdr:colOff>
      <xdr:row>30</xdr:row>
      <xdr:rowOff>165100</xdr:rowOff>
    </xdr:to>
    <xdr:graphicFrame macro="">
      <xdr:nvGraphicFramePr>
        <xdr:cNvPr id="6" name="Chart 5">
          <a:extLst>
            <a:ext uri="{FF2B5EF4-FFF2-40B4-BE49-F238E27FC236}">
              <a16:creationId xmlns:a16="http://schemas.microsoft.com/office/drawing/2014/main" id="{B7B63301-084D-460F-8D46-B90C8AB584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571500</xdr:colOff>
      <xdr:row>16</xdr:row>
      <xdr:rowOff>12700</xdr:rowOff>
    </xdr:from>
    <xdr:to>
      <xdr:col>14</xdr:col>
      <xdr:colOff>533400</xdr:colOff>
      <xdr:row>30</xdr:row>
      <xdr:rowOff>158749</xdr:rowOff>
    </xdr:to>
    <mc:AlternateContent xmlns:mc="http://schemas.openxmlformats.org/markup-compatibility/2006" xmlns:a14="http://schemas.microsoft.com/office/drawing/2010/main">
      <mc:Choice Requires="a14">
        <xdr:graphicFrame macro="">
          <xdr:nvGraphicFramePr>
            <xdr:cNvPr id="7" name="Month-Year">
              <a:extLst>
                <a:ext uri="{FF2B5EF4-FFF2-40B4-BE49-F238E27FC236}">
                  <a16:creationId xmlns:a16="http://schemas.microsoft.com/office/drawing/2014/main" id="{7956D019-57E8-3868-2C17-D1B17659CC08}"/>
                </a:ext>
              </a:extLst>
            </xdr:cNvPr>
            <xdr:cNvGraphicFramePr/>
          </xdr:nvGraphicFramePr>
          <xdr:xfrm>
            <a:off x="0" y="0"/>
            <a:ext cx="0" cy="0"/>
          </xdr:xfrm>
          <a:graphic>
            <a:graphicData uri="http://schemas.microsoft.com/office/drawing/2010/slicer">
              <sle:slicer xmlns:sle="http://schemas.microsoft.com/office/drawing/2010/slicer" name="Month-Year"/>
            </a:graphicData>
          </a:graphic>
        </xdr:graphicFrame>
      </mc:Choice>
      <mc:Fallback xmlns="">
        <xdr:sp macro="" textlink="">
          <xdr:nvSpPr>
            <xdr:cNvPr id="0" name=""/>
            <xdr:cNvSpPr>
              <a:spLocks noTextEdit="1"/>
            </xdr:cNvSpPr>
          </xdr:nvSpPr>
          <xdr:spPr>
            <a:xfrm>
              <a:off x="7886700" y="2959100"/>
              <a:ext cx="1181100" cy="27241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19050</xdr:colOff>
      <xdr:row>16</xdr:row>
      <xdr:rowOff>0</xdr:rowOff>
    </xdr:from>
    <xdr:to>
      <xdr:col>17</xdr:col>
      <xdr:colOff>12700</xdr:colOff>
      <xdr:row>30</xdr:row>
      <xdr:rowOff>152399</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78A9D21A-89CE-FF17-FB06-C7DA06323BD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63050" y="2946400"/>
              <a:ext cx="1212850" cy="2730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95250</xdr:colOff>
      <xdr:row>16</xdr:row>
      <xdr:rowOff>0</xdr:rowOff>
    </xdr:from>
    <xdr:to>
      <xdr:col>19</xdr:col>
      <xdr:colOff>95250</xdr:colOff>
      <xdr:row>30</xdr:row>
      <xdr:rowOff>165099</xdr:rowOff>
    </xdr:to>
    <mc:AlternateContent xmlns:mc="http://schemas.openxmlformats.org/markup-compatibility/2006" xmlns:a14="http://schemas.microsoft.com/office/drawing/2010/main">
      <mc:Choice Requires="a14">
        <xdr:graphicFrame macro="">
          <xdr:nvGraphicFramePr>
            <xdr:cNvPr id="9" name="Product Category">
              <a:extLst>
                <a:ext uri="{FF2B5EF4-FFF2-40B4-BE49-F238E27FC236}">
                  <a16:creationId xmlns:a16="http://schemas.microsoft.com/office/drawing/2014/main" id="{EFE4B7AE-07CD-1BDB-3D21-18F7B903048C}"/>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0458450" y="2946400"/>
              <a:ext cx="1219200" cy="2743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esh Patil" refreshedDate="45908.834053935185" createdVersion="8" refreshedVersion="8" minRefreshableVersion="3" recordCount="30" xr:uid="{DD4D6739-AEA3-490A-9077-2A41B14E4E78}">
  <cacheSource type="worksheet">
    <worksheetSource ref="A2:K32" sheet="Dataset"/>
  </cacheSource>
  <cacheFields count="11">
    <cacheField name="Order date" numFmtId="14">
      <sharedItems containsSemiMixedTypes="0" containsNonDate="0" containsDate="1" containsString="0" minDate="2024-01-02T00:00:00" maxDate="2024-04-26T00:00:00"/>
    </cacheField>
    <cacheField name="Month-Year" numFmtId="165">
      <sharedItems count="4">
        <s v="Jan-2024"/>
        <s v="Feb-2024"/>
        <s v="Mar-2024"/>
        <s v="Apr-2024"/>
      </sharedItems>
    </cacheField>
    <cacheField name="Region" numFmtId="49">
      <sharedItems count="4">
        <s v="North"/>
        <s v="South"/>
        <s v="East"/>
        <s v="West"/>
      </sharedItems>
    </cacheField>
    <cacheField name="Product Category" numFmtId="49">
      <sharedItems count="5">
        <s v="Electronics"/>
        <s v="Furniture"/>
        <s v="Clothing"/>
        <s v="Grocery"/>
        <s v="Personal Care"/>
      </sharedItems>
    </cacheField>
    <cacheField name="Product Name" numFmtId="49">
      <sharedItems count="22">
        <s v="Laptop"/>
        <s v="Office chair"/>
        <s v="Jacket"/>
        <s v="Rice(10kg)"/>
        <s v="Smartphone"/>
        <s v="Sofa"/>
        <s v="Shoes"/>
        <s v="Shampoo"/>
        <s v="Tablet"/>
        <s v="Bed"/>
        <s v="Tea(1kg)"/>
        <s v="Dress"/>
        <s v="Smartwatch"/>
        <s v="Bookshelf"/>
        <s v="Jeans"/>
        <s v="Sugar(5kg)"/>
        <s v="Study Table"/>
        <s v="T-Shirt"/>
        <s v="Perfume"/>
        <s v="Headphones"/>
        <s v="Cooking oil"/>
        <s v="Wheat Flour"/>
      </sharedItems>
    </cacheField>
    <cacheField name="Quantity" numFmtId="1">
      <sharedItems containsSemiMixedTypes="0" containsString="0" containsNumber="1" containsInteger="1" minValue="1" maxValue="15"/>
    </cacheField>
    <cacheField name="Unit Price" numFmtId="164">
      <sharedItems containsSemiMixedTypes="0" containsString="0" containsNumber="1" containsInteger="1" minValue="300" maxValue="60000"/>
    </cacheField>
    <cacheField name="Discount" numFmtId="0">
      <sharedItems containsSemiMixedTypes="0" containsString="0" containsNumber="1" minValue="0" maxValue="0.1"/>
    </cacheField>
    <cacheField name="Sales Amount" numFmtId="164">
      <sharedItems containsSemiMixedTypes="0" containsString="0" containsNumber="1" containsInteger="1" minValue="3200" maxValue="90000"/>
    </cacheField>
    <cacheField name="Profit" numFmtId="164">
      <sharedItems containsSemiMixedTypes="0" containsString="0" containsNumber="1" containsInteger="1" minValue="700" maxValue="15000"/>
    </cacheField>
    <cacheField name="Profit Margin" numFmtId="10">
      <sharedItems containsSemiMixedTypes="0" containsString="0" containsNumber="1" minValue="0.13333333333333333" maxValue="0.33333333333333331" count="26">
        <n v="0.13333333333333333"/>
        <n v="0.28000000000000003"/>
        <n v="0.31578947368421051"/>
        <n v="0.15"/>
        <n v="0.19736842105263158"/>
        <n v="0.2"/>
        <n v="0.29629629629629628"/>
        <n v="0.27777777777777779"/>
        <n v="0.19649122807017544"/>
        <n v="0.21875"/>
        <n v="0.33333333333333331"/>
        <n v="0.20833333333333334"/>
        <n v="0.23333333333333334"/>
        <n v="0.28872180451127821"/>
        <n v="0.17777777777777778"/>
        <n v="0.18181818181818182"/>
        <n v="0.25"/>
        <n v="0.3"/>
        <n v="0.26666666666666666"/>
        <n v="0.18421052631578946"/>
        <n v="0.18"/>
        <n v="0.18666666666666668"/>
        <n v="0.31481481481481483"/>
        <n v="0.16666666666666666"/>
        <n v="0.19298245614035087"/>
        <n v="0.22222222222222221"/>
      </sharedItems>
    </cacheField>
  </cacheFields>
  <extLst>
    <ext xmlns:x14="http://schemas.microsoft.com/office/spreadsheetml/2009/9/main" uri="{725AE2AE-9491-48be-B2B4-4EB974FC3084}">
      <x14:pivotCacheDefinition pivotCacheId="9058185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d v="2024-01-02T00:00:00"/>
    <x v="0"/>
    <x v="0"/>
    <x v="0"/>
    <x v="0"/>
    <n v="2"/>
    <n v="50000"/>
    <n v="0.1"/>
    <n v="90000"/>
    <n v="12000"/>
    <x v="0"/>
  </r>
  <r>
    <d v="2024-01-05T00:00:00"/>
    <x v="0"/>
    <x v="1"/>
    <x v="1"/>
    <x v="1"/>
    <n v="5"/>
    <n v="2500"/>
    <n v="0"/>
    <n v="12500"/>
    <n v="3500"/>
    <x v="1"/>
  </r>
  <r>
    <d v="2024-01-08T00:00:00"/>
    <x v="0"/>
    <x v="2"/>
    <x v="2"/>
    <x v="2"/>
    <n v="3"/>
    <n v="2000"/>
    <n v="0.05"/>
    <n v="5700"/>
    <n v="1800"/>
    <x v="2"/>
  </r>
  <r>
    <d v="2024-01-12T00:00:00"/>
    <x v="0"/>
    <x v="3"/>
    <x v="3"/>
    <x v="3"/>
    <n v="10"/>
    <n v="800"/>
    <n v="0"/>
    <n v="8000"/>
    <n v="1200"/>
    <x v="3"/>
  </r>
  <r>
    <d v="2024-01-15T00:00:00"/>
    <x v="0"/>
    <x v="0"/>
    <x v="0"/>
    <x v="4"/>
    <n v="4"/>
    <n v="20000"/>
    <n v="0.05"/>
    <n v="76000"/>
    <n v="15000"/>
    <x v="4"/>
  </r>
  <r>
    <d v="2024-01-20T00:00:00"/>
    <x v="0"/>
    <x v="1"/>
    <x v="1"/>
    <x v="5"/>
    <n v="2"/>
    <n v="30000"/>
    <n v="0"/>
    <n v="60000"/>
    <n v="12000"/>
    <x v="5"/>
  </r>
  <r>
    <d v="2024-01-25T00:00:00"/>
    <x v="0"/>
    <x v="2"/>
    <x v="2"/>
    <x v="6"/>
    <n v="6"/>
    <n v="1500"/>
    <n v="0.1"/>
    <n v="8100"/>
    <n v="2400"/>
    <x v="6"/>
  </r>
  <r>
    <d v="2024-01-30T00:00:00"/>
    <x v="0"/>
    <x v="3"/>
    <x v="4"/>
    <x v="7"/>
    <n v="12"/>
    <n v="300"/>
    <n v="0"/>
    <n v="3600"/>
    <n v="1000"/>
    <x v="7"/>
  </r>
  <r>
    <d v="2024-02-04T00:00:00"/>
    <x v="1"/>
    <x v="0"/>
    <x v="0"/>
    <x v="8"/>
    <n v="3"/>
    <n v="25000"/>
    <n v="0.05"/>
    <n v="71250"/>
    <n v="14000"/>
    <x v="8"/>
  </r>
  <r>
    <d v="2024-02-08T00:00:00"/>
    <x v="1"/>
    <x v="1"/>
    <x v="1"/>
    <x v="9"/>
    <n v="1"/>
    <n v="45000"/>
    <n v="0"/>
    <n v="45000"/>
    <n v="9000"/>
    <x v="5"/>
  </r>
  <r>
    <d v="2024-02-12T00:00:00"/>
    <x v="1"/>
    <x v="2"/>
    <x v="3"/>
    <x v="10"/>
    <n v="8"/>
    <n v="400"/>
    <n v="0"/>
    <n v="3200"/>
    <n v="700"/>
    <x v="9"/>
  </r>
  <r>
    <d v="2024-02-15T00:00:00"/>
    <x v="1"/>
    <x v="3"/>
    <x v="2"/>
    <x v="11"/>
    <n v="5"/>
    <n v="1200"/>
    <n v="0"/>
    <n v="6000"/>
    <n v="2000"/>
    <x v="10"/>
  </r>
  <r>
    <d v="2024-02-18T00:00:00"/>
    <x v="1"/>
    <x v="0"/>
    <x v="0"/>
    <x v="12"/>
    <n v="4"/>
    <n v="8000"/>
    <n v="0.1"/>
    <n v="28800"/>
    <n v="6000"/>
    <x v="11"/>
  </r>
  <r>
    <d v="2024-02-22T00:00:00"/>
    <x v="1"/>
    <x v="1"/>
    <x v="1"/>
    <x v="13"/>
    <n v="3"/>
    <n v="5000"/>
    <n v="0"/>
    <n v="15000"/>
    <n v="3500"/>
    <x v="12"/>
  </r>
  <r>
    <d v="2024-02-26T00:00:00"/>
    <x v="1"/>
    <x v="2"/>
    <x v="2"/>
    <x v="14"/>
    <n v="7"/>
    <n v="2500"/>
    <n v="0.05"/>
    <n v="16625"/>
    <n v="4800"/>
    <x v="13"/>
  </r>
  <r>
    <d v="2024-03-01T00:00:00"/>
    <x v="2"/>
    <x v="3"/>
    <x v="3"/>
    <x v="15"/>
    <n v="15"/>
    <n v="300"/>
    <n v="0"/>
    <n v="4500"/>
    <n v="800"/>
    <x v="14"/>
  </r>
  <r>
    <d v="2024-03-04T00:00:00"/>
    <x v="2"/>
    <x v="0"/>
    <x v="0"/>
    <x v="0"/>
    <n v="1"/>
    <n v="55000"/>
    <n v="0"/>
    <n v="55000"/>
    <n v="10000"/>
    <x v="15"/>
  </r>
  <r>
    <d v="2024-03-08T00:00:00"/>
    <x v="2"/>
    <x v="1"/>
    <x v="1"/>
    <x v="16"/>
    <n v="2"/>
    <n v="10000"/>
    <n v="0"/>
    <n v="20000"/>
    <n v="5000"/>
    <x v="16"/>
  </r>
  <r>
    <d v="2024-03-12T00:00:00"/>
    <x v="2"/>
    <x v="2"/>
    <x v="2"/>
    <x v="17"/>
    <n v="10"/>
    <n v="600"/>
    <n v="0"/>
    <n v="6000"/>
    <n v="1800"/>
    <x v="17"/>
  </r>
  <r>
    <d v="2024-03-16T00:00:00"/>
    <x v="2"/>
    <x v="3"/>
    <x v="3"/>
    <x v="18"/>
    <n v="2"/>
    <n v="2500"/>
    <n v="0.1"/>
    <n v="4500"/>
    <n v="1500"/>
    <x v="10"/>
  </r>
  <r>
    <d v="2024-03-20T00:00:00"/>
    <x v="2"/>
    <x v="0"/>
    <x v="0"/>
    <x v="19"/>
    <n v="5"/>
    <n v="3000"/>
    <n v="0"/>
    <n v="15000"/>
    <n v="4000"/>
    <x v="18"/>
  </r>
  <r>
    <d v="2024-03-24T00:00:00"/>
    <x v="2"/>
    <x v="1"/>
    <x v="1"/>
    <x v="9"/>
    <n v="2"/>
    <n v="40000"/>
    <n v="0.05"/>
    <n v="76000"/>
    <n v="14000"/>
    <x v="19"/>
  </r>
  <r>
    <d v="2024-03-28T00:00:00"/>
    <x v="2"/>
    <x v="2"/>
    <x v="2"/>
    <x v="20"/>
    <n v="5"/>
    <n v="1000"/>
    <n v="0"/>
    <n v="5000"/>
    <n v="900"/>
    <x v="20"/>
  </r>
  <r>
    <d v="2024-04-01T00:00:00"/>
    <x v="3"/>
    <x v="3"/>
    <x v="4"/>
    <x v="2"/>
    <n v="2"/>
    <n v="3000"/>
    <n v="0"/>
    <n v="6000"/>
    <n v="2000"/>
    <x v="10"/>
  </r>
  <r>
    <d v="2024-04-05T00:00:00"/>
    <x v="3"/>
    <x v="0"/>
    <x v="0"/>
    <x v="4"/>
    <n v="3"/>
    <n v="25000"/>
    <n v="0"/>
    <n v="75000"/>
    <n v="14000"/>
    <x v="21"/>
  </r>
  <r>
    <d v="2024-04-09T00:00:00"/>
    <x v="3"/>
    <x v="1"/>
    <x v="1"/>
    <x v="5"/>
    <n v="1"/>
    <n v="60000"/>
    <n v="0"/>
    <n v="60000"/>
    <n v="12000"/>
    <x v="5"/>
  </r>
  <r>
    <d v="2024-04-13T00:00:00"/>
    <x v="3"/>
    <x v="2"/>
    <x v="3"/>
    <x v="11"/>
    <n v="4"/>
    <n v="1500"/>
    <n v="0.1"/>
    <n v="5400"/>
    <n v="1700"/>
    <x v="22"/>
  </r>
  <r>
    <d v="2024-04-17T00:00:00"/>
    <x v="3"/>
    <x v="3"/>
    <x v="2"/>
    <x v="21"/>
    <n v="12"/>
    <n v="500"/>
    <n v="0"/>
    <n v="6000"/>
    <n v="1000"/>
    <x v="23"/>
  </r>
  <r>
    <d v="2024-04-21T00:00:00"/>
    <x v="3"/>
    <x v="0"/>
    <x v="0"/>
    <x v="8"/>
    <n v="2"/>
    <n v="30000"/>
    <n v="0.05"/>
    <n v="57000"/>
    <n v="11000"/>
    <x v="24"/>
  </r>
  <r>
    <d v="2024-04-25T00:00:00"/>
    <x v="3"/>
    <x v="1"/>
    <x v="1"/>
    <x v="1"/>
    <n v="6"/>
    <n v="3000"/>
    <n v="0"/>
    <n v="18000"/>
    <n v="4000"/>
    <x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763DB2-A580-4279-8802-645AD66847C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1">
    <pivotField numFmtId="14" showAll="0"/>
    <pivotField showAll="0">
      <items count="5">
        <item x="3"/>
        <item x="1"/>
        <item x="0"/>
        <item x="2"/>
        <item t="default"/>
      </items>
    </pivotField>
    <pivotField axis="axisRow" showAll="0">
      <items count="5">
        <item x="2"/>
        <item x="0"/>
        <item x="1"/>
        <item x="3"/>
        <item t="default"/>
      </items>
    </pivotField>
    <pivotField showAll="0">
      <items count="6">
        <item x="2"/>
        <item x="0"/>
        <item x="1"/>
        <item x="3"/>
        <item x="4"/>
        <item t="default"/>
      </items>
    </pivotField>
    <pivotField showAll="0"/>
    <pivotField numFmtId="1" showAll="0"/>
    <pivotField numFmtId="164" showAll="0"/>
    <pivotField showAll="0"/>
    <pivotField dataField="1" numFmtId="164" showAll="0"/>
    <pivotField numFmtId="164" showAll="0"/>
    <pivotField numFmtId="10" showAll="0"/>
  </pivotFields>
  <rowFields count="1">
    <field x="2"/>
  </rowFields>
  <rowItems count="5">
    <i>
      <x/>
    </i>
    <i>
      <x v="1"/>
    </i>
    <i>
      <x v="2"/>
    </i>
    <i>
      <x v="3"/>
    </i>
    <i t="grand">
      <x/>
    </i>
  </rowItems>
  <colItems count="1">
    <i/>
  </colItems>
  <dataFields count="1">
    <dataField name="Sum of Sales Amount" fld="8" baseField="0" baseItem="0" numFmtId="164"/>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D5ACB3-9529-4EE8-ADFF-8FD9978227F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 Category">
  <location ref="A3:B9" firstHeaderRow="1" firstDataRow="1" firstDataCol="1" rowPageCount="1" colPageCount="1"/>
  <pivotFields count="11">
    <pivotField numFmtId="14" showAll="0"/>
    <pivotField showAll="0"/>
    <pivotField showAll="0"/>
    <pivotField axis="axisRow" showAll="0">
      <items count="6">
        <item x="2"/>
        <item x="0"/>
        <item x="1"/>
        <item x="3"/>
        <item x="4"/>
        <item t="default"/>
      </items>
    </pivotField>
    <pivotField showAll="0"/>
    <pivotField numFmtId="1" showAll="0"/>
    <pivotField numFmtId="164" showAll="0"/>
    <pivotField showAll="0"/>
    <pivotField numFmtId="164" showAll="0"/>
    <pivotField numFmtId="164" showAll="0"/>
    <pivotField axis="axisPage" dataField="1" numFmtId="10" showAll="0">
      <items count="27">
        <item x="0"/>
        <item x="3"/>
        <item x="23"/>
        <item x="14"/>
        <item x="20"/>
        <item x="15"/>
        <item x="19"/>
        <item x="21"/>
        <item x="24"/>
        <item x="8"/>
        <item x="4"/>
        <item x="5"/>
        <item x="11"/>
        <item x="9"/>
        <item x="25"/>
        <item x="12"/>
        <item x="16"/>
        <item x="18"/>
        <item x="7"/>
        <item x="1"/>
        <item x="13"/>
        <item x="6"/>
        <item x="17"/>
        <item x="22"/>
        <item x="2"/>
        <item x="10"/>
        <item t="default"/>
      </items>
    </pivotField>
  </pivotFields>
  <rowFields count="1">
    <field x="3"/>
  </rowFields>
  <rowItems count="6">
    <i>
      <x/>
    </i>
    <i>
      <x v="1"/>
    </i>
    <i>
      <x v="2"/>
    </i>
    <i>
      <x v="3"/>
    </i>
    <i>
      <x v="4"/>
    </i>
    <i t="grand">
      <x/>
    </i>
  </rowItems>
  <colItems count="1">
    <i/>
  </colItems>
  <pageFields count="1">
    <pageField fld="10" hier="-1"/>
  </pageFields>
  <dataFields count="1">
    <dataField name="Average of Profit Margin" fld="10" subtotal="average" baseField="3" baseItem="0" numFmtId="10"/>
  </dataFields>
  <formats count="5">
    <format dxfId="4">
      <pivotArea field="3" type="button" dataOnly="0" labelOnly="1" outline="0" axis="axisRow" fieldPosition="0"/>
    </format>
    <format dxfId="3">
      <pivotArea dataOnly="0" labelOnly="1" fieldPosition="0">
        <references count="1">
          <reference field="3" count="0"/>
        </references>
      </pivotArea>
    </format>
    <format dxfId="2">
      <pivotArea dataOnly="0" labelOnly="1" grandRow="1" outline="0" fieldPosition="0"/>
    </format>
    <format dxfId="1">
      <pivotArea outline="0" collapsedLevelsAreSubtotals="1" fieldPosition="0"/>
    </format>
    <format dxfId="0">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3" count="1" selected="0">
            <x v="0"/>
          </reference>
        </references>
      </pivotArea>
    </chartFormat>
    <chartFormat chart="4" format="9">
      <pivotArea type="data" outline="0" fieldPosition="0">
        <references count="2">
          <reference field="4294967294" count="1" selected="0">
            <x v="0"/>
          </reference>
          <reference field="3" count="1" selected="0">
            <x v="1"/>
          </reference>
        </references>
      </pivotArea>
    </chartFormat>
    <chartFormat chart="4" format="10">
      <pivotArea type="data" outline="0" fieldPosition="0">
        <references count="2">
          <reference field="4294967294" count="1" selected="0">
            <x v="0"/>
          </reference>
          <reference field="3" count="1" selected="0">
            <x v="2"/>
          </reference>
        </references>
      </pivotArea>
    </chartFormat>
    <chartFormat chart="4" format="11">
      <pivotArea type="data" outline="0" fieldPosition="0">
        <references count="2">
          <reference field="4294967294" count="1" selected="0">
            <x v="0"/>
          </reference>
          <reference field="3" count="1" selected="0">
            <x v="3"/>
          </reference>
        </references>
      </pivotArea>
    </chartFormat>
    <chartFormat chart="4"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071E47-EEF4-4B10-877E-7C8A9BDA9D8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C9" firstHeaderRow="0" firstDataRow="1" firstDataCol="1"/>
  <pivotFields count="11">
    <pivotField numFmtId="14" showAll="0"/>
    <pivotField axis="axisRow" showAll="0">
      <items count="5">
        <item x="3"/>
        <item x="1"/>
        <item x="0"/>
        <item x="2"/>
        <item t="default"/>
      </items>
    </pivotField>
    <pivotField multipleItemSelectionAllowed="1" showAll="0">
      <items count="5">
        <item h="1" x="2"/>
        <item x="0"/>
        <item x="1"/>
        <item h="1" x="3"/>
        <item t="default"/>
      </items>
    </pivotField>
    <pivotField showAll="0">
      <items count="6">
        <item x="2"/>
        <item x="0"/>
        <item x="1"/>
        <item x="3"/>
        <item x="4"/>
        <item t="default"/>
      </items>
    </pivotField>
    <pivotField showAll="0"/>
    <pivotField numFmtId="1" showAll="0"/>
    <pivotField numFmtId="164" showAll="0"/>
    <pivotField showAll="0"/>
    <pivotField dataField="1" numFmtId="164" showAll="0"/>
    <pivotField dataField="1" numFmtId="164" showAll="0"/>
    <pivotField numFmtId="10" showAll="0"/>
  </pivotFields>
  <rowFields count="1">
    <field x="1"/>
  </rowFields>
  <rowItems count="5">
    <i>
      <x/>
    </i>
    <i>
      <x v="1"/>
    </i>
    <i>
      <x v="2"/>
    </i>
    <i>
      <x v="3"/>
    </i>
    <i t="grand">
      <x/>
    </i>
  </rowItems>
  <colFields count="1">
    <field x="-2"/>
  </colFields>
  <colItems count="2">
    <i>
      <x/>
    </i>
    <i i="1">
      <x v="1"/>
    </i>
  </colItems>
  <dataFields count="2">
    <dataField name="Sum of Sales Amount" fld="8" baseField="0" baseItem="0" numFmtId="164"/>
    <dataField name="Sum of Profit" fld="9" baseField="0" baseItem="0" numFmtId="164"/>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31EFD0-AD56-4380-9A3D-8292BFA3BA7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1">
    <pivotField numFmtId="14" showAll="0"/>
    <pivotField showAll="0"/>
    <pivotField showAll="0"/>
    <pivotField axis="axisRow" showAll="0">
      <items count="6">
        <item x="2"/>
        <item x="0"/>
        <item x="1"/>
        <item x="3"/>
        <item x="4"/>
        <item t="default"/>
      </items>
    </pivotField>
    <pivotField showAll="0"/>
    <pivotField numFmtId="1" showAll="0"/>
    <pivotField numFmtId="164" showAll="0"/>
    <pivotField showAll="0"/>
    <pivotField numFmtId="164" showAll="0"/>
    <pivotField dataField="1" numFmtId="164" showAll="0"/>
    <pivotField numFmtId="10" showAll="0"/>
  </pivotFields>
  <rowFields count="1">
    <field x="3"/>
  </rowFields>
  <rowItems count="6">
    <i>
      <x/>
    </i>
    <i>
      <x v="1"/>
    </i>
    <i>
      <x v="2"/>
    </i>
    <i>
      <x v="3"/>
    </i>
    <i>
      <x v="4"/>
    </i>
    <i t="grand">
      <x/>
    </i>
  </rowItems>
  <colItems count="1">
    <i/>
  </colItems>
  <dataFields count="1">
    <dataField name="Sum of Profit" fld="9" baseField="0"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C1FE87-BA16-4C78-BFBC-67517B255CC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1">
    <pivotField numFmtId="14" showAll="0"/>
    <pivotField showAll="0"/>
    <pivotField showAll="0"/>
    <pivotField showAll="0"/>
    <pivotField axis="axisRow" showAll="0" measureFilter="1" sortType="descending">
      <items count="23">
        <item x="9"/>
        <item x="13"/>
        <item x="20"/>
        <item x="11"/>
        <item x="19"/>
        <item x="2"/>
        <item x="14"/>
        <item x="0"/>
        <item x="1"/>
        <item x="18"/>
        <item x="3"/>
        <item x="7"/>
        <item x="6"/>
        <item x="4"/>
        <item x="12"/>
        <item x="5"/>
        <item x="16"/>
        <item x="15"/>
        <item x="8"/>
        <item x="10"/>
        <item x="17"/>
        <item x="21"/>
        <item t="default"/>
      </items>
      <autoSortScope>
        <pivotArea dataOnly="0" outline="0" fieldPosition="0">
          <references count="1">
            <reference field="4294967294" count="1" selected="0">
              <x v="0"/>
            </reference>
          </references>
        </pivotArea>
      </autoSortScope>
    </pivotField>
    <pivotField numFmtId="1" showAll="0"/>
    <pivotField numFmtId="164" showAll="0"/>
    <pivotField showAll="0"/>
    <pivotField dataField="1" numFmtId="164" showAll="0"/>
    <pivotField numFmtId="164" showAll="0"/>
    <pivotField numFmtId="10" showAll="0"/>
  </pivotFields>
  <rowFields count="1">
    <field x="4"/>
  </rowFields>
  <rowItems count="6">
    <i>
      <x v="13"/>
    </i>
    <i>
      <x v="7"/>
    </i>
    <i>
      <x v="18"/>
    </i>
    <i>
      <x/>
    </i>
    <i>
      <x v="15"/>
    </i>
    <i t="grand">
      <x/>
    </i>
  </rowItems>
  <colItems count="1">
    <i/>
  </colItems>
  <dataFields count="1">
    <dataField name="Sum of Sales Amount" fld="8" baseField="0" baseItem="0" numFmtId="164"/>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Year" xr10:uid="{EFD404D2-54C3-4D14-AF22-A6C616E18492}" sourceName="Month-Year">
  <pivotTables>
    <pivotTable tabId="2" name="PivotTable1"/>
  </pivotTables>
  <data>
    <tabular pivotCacheId="905818580">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C7D0697-FCBE-4368-8F5B-518923A90F18}" sourceName="Region">
  <pivotTables>
    <pivotTable tabId="2" name="PivotTable1"/>
  </pivotTables>
  <data>
    <tabular pivotCacheId="905818580">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AB765E9-64B6-4278-BE3A-A4707A90E741}" sourceName="Product Category">
  <pivotTables>
    <pivotTable tabId="2" name="PivotTable1"/>
  </pivotTables>
  <data>
    <tabular pivotCacheId="905818580">
      <items count="5">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Year" xr10:uid="{F4564CC2-86B3-4DD9-8DEE-19463489D680}" cache="Slicer_Month_Year" caption="Month-Year" rowHeight="241300"/>
  <slicer name="Region" xr10:uid="{A274AB6E-ADAD-4809-A8A8-3BC7EA2E7158}" cache="Slicer_Region" caption="Region" rowHeight="241300"/>
  <slicer name="Product Category" xr10:uid="{288384B4-488C-4FA2-8FE4-D1D7A09055E9}" cache="Slicer_Product_Category" caption="Product 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DD509-2615-4F1D-B28A-451300892952}">
  <dimension ref="A3:B8"/>
  <sheetViews>
    <sheetView workbookViewId="0">
      <selection activeCell="P6" sqref="P6"/>
    </sheetView>
  </sheetViews>
  <sheetFormatPr defaultRowHeight="14.5" x14ac:dyDescent="0.35"/>
  <cols>
    <col min="1" max="1" width="12.36328125" bestFit="1" customWidth="1"/>
    <col min="2" max="2" width="18.7265625" bestFit="1" customWidth="1"/>
  </cols>
  <sheetData>
    <row r="3" spans="1:2" x14ac:dyDescent="0.35">
      <c r="A3" s="16" t="s">
        <v>42</v>
      </c>
      <c r="B3" t="s">
        <v>44</v>
      </c>
    </row>
    <row r="4" spans="1:2" x14ac:dyDescent="0.35">
      <c r="A4" s="17" t="s">
        <v>12</v>
      </c>
      <c r="B4" s="1">
        <v>50025</v>
      </c>
    </row>
    <row r="5" spans="1:2" x14ac:dyDescent="0.35">
      <c r="A5" s="17" t="s">
        <v>9</v>
      </c>
      <c r="B5" s="1">
        <v>468050</v>
      </c>
    </row>
    <row r="6" spans="1:2" x14ac:dyDescent="0.35">
      <c r="A6" s="17" t="s">
        <v>10</v>
      </c>
      <c r="B6" s="1">
        <v>306500</v>
      </c>
    </row>
    <row r="7" spans="1:2" x14ac:dyDescent="0.35">
      <c r="A7" s="17" t="s">
        <v>11</v>
      </c>
      <c r="B7" s="1">
        <v>38600</v>
      </c>
    </row>
    <row r="8" spans="1:2" x14ac:dyDescent="0.35">
      <c r="A8" s="17" t="s">
        <v>43</v>
      </c>
      <c r="B8" s="1">
        <v>863175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58F8E-B079-43B4-A49B-D5B767267D7C}">
  <dimension ref="A1:B9"/>
  <sheetViews>
    <sheetView workbookViewId="0">
      <selection activeCell="M6" sqref="M6"/>
    </sheetView>
  </sheetViews>
  <sheetFormatPr defaultRowHeight="14.5" x14ac:dyDescent="0.35"/>
  <cols>
    <col min="1" max="1" width="17.7265625" style="17" bestFit="1" customWidth="1"/>
    <col min="2" max="2" width="21.54296875" style="18" bestFit="1" customWidth="1"/>
  </cols>
  <sheetData>
    <row r="1" spans="1:2" x14ac:dyDescent="0.35">
      <c r="A1" s="16" t="s">
        <v>41</v>
      </c>
      <c r="B1" t="s">
        <v>50</v>
      </c>
    </row>
    <row r="3" spans="1:2" x14ac:dyDescent="0.35">
      <c r="A3" s="19" t="s">
        <v>2</v>
      </c>
      <c r="B3" s="18" t="s">
        <v>45</v>
      </c>
    </row>
    <row r="4" spans="1:2" x14ac:dyDescent="0.35">
      <c r="A4" s="17" t="s">
        <v>15</v>
      </c>
      <c r="B4" s="20">
        <v>0.26868679635596932</v>
      </c>
    </row>
    <row r="5" spans="1:2" x14ac:dyDescent="0.35">
      <c r="A5" s="17" t="s">
        <v>13</v>
      </c>
      <c r="B5" s="20">
        <v>0.19545753588516745</v>
      </c>
    </row>
    <row r="6" spans="1:2" x14ac:dyDescent="0.35">
      <c r="A6" s="17" t="s">
        <v>14</v>
      </c>
      <c r="B6" s="20">
        <v>0.22122076023391812</v>
      </c>
    </row>
    <row r="7" spans="1:2" x14ac:dyDescent="0.35">
      <c r="A7" s="17" t="s">
        <v>16</v>
      </c>
      <c r="B7" s="20">
        <v>0.23893518518518522</v>
      </c>
    </row>
    <row r="8" spans="1:2" x14ac:dyDescent="0.35">
      <c r="A8" s="17" t="s">
        <v>17</v>
      </c>
      <c r="B8" s="20">
        <v>0.30555555555555558</v>
      </c>
    </row>
    <row r="9" spans="1:2" x14ac:dyDescent="0.35">
      <c r="A9" s="17" t="s">
        <v>43</v>
      </c>
      <c r="B9" s="20">
        <v>0.23400069934938358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F1832-80D7-4A69-9DDC-E8D19AF8CF56}">
  <dimension ref="A4:C9"/>
  <sheetViews>
    <sheetView workbookViewId="0">
      <selection activeCell="O9" sqref="O9"/>
    </sheetView>
  </sheetViews>
  <sheetFormatPr defaultRowHeight="14.5" x14ac:dyDescent="0.35"/>
  <cols>
    <col min="1" max="1" width="12.36328125" bestFit="1" customWidth="1"/>
    <col min="2" max="2" width="18.7265625" bestFit="1" customWidth="1"/>
    <col min="3" max="3" width="11.90625" bestFit="1" customWidth="1"/>
  </cols>
  <sheetData>
    <row r="4" spans="1:3" x14ac:dyDescent="0.35">
      <c r="A4" s="16" t="s">
        <v>42</v>
      </c>
      <c r="B4" t="s">
        <v>44</v>
      </c>
      <c r="C4" t="s">
        <v>51</v>
      </c>
    </row>
    <row r="5" spans="1:3" x14ac:dyDescent="0.35">
      <c r="A5" s="17" t="s">
        <v>46</v>
      </c>
      <c r="B5" s="1">
        <v>227400</v>
      </c>
      <c r="C5" s="1">
        <v>45700</v>
      </c>
    </row>
    <row r="6" spans="1:3" x14ac:dyDescent="0.35">
      <c r="A6" s="17" t="s">
        <v>47</v>
      </c>
      <c r="B6" s="1">
        <v>185875</v>
      </c>
      <c r="C6" s="1">
        <v>40000</v>
      </c>
    </row>
    <row r="7" spans="1:3" x14ac:dyDescent="0.35">
      <c r="A7" s="17" t="s">
        <v>48</v>
      </c>
      <c r="B7" s="1">
        <v>263900</v>
      </c>
      <c r="C7" s="1">
        <v>48900</v>
      </c>
    </row>
    <row r="8" spans="1:3" x14ac:dyDescent="0.35">
      <c r="A8" s="17" t="s">
        <v>49</v>
      </c>
      <c r="B8" s="1">
        <v>186000</v>
      </c>
      <c r="C8" s="1">
        <v>38000</v>
      </c>
    </row>
    <row r="9" spans="1:3" x14ac:dyDescent="0.35">
      <c r="A9" s="17" t="s">
        <v>43</v>
      </c>
      <c r="B9" s="1">
        <v>863175</v>
      </c>
      <c r="C9" s="1">
        <v>172600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7EC68-179F-4BF8-A974-39748C32CAC7}">
  <dimension ref="A3:B9"/>
  <sheetViews>
    <sheetView workbookViewId="0">
      <selection activeCell="N3" sqref="N3"/>
    </sheetView>
  </sheetViews>
  <sheetFormatPr defaultRowHeight="14.5" x14ac:dyDescent="0.35"/>
  <cols>
    <col min="1" max="1" width="12.36328125" bestFit="1" customWidth="1"/>
    <col min="2" max="2" width="11.90625" bestFit="1" customWidth="1"/>
  </cols>
  <sheetData>
    <row r="3" spans="1:2" x14ac:dyDescent="0.35">
      <c r="A3" s="16" t="s">
        <v>42</v>
      </c>
      <c r="B3" t="s">
        <v>51</v>
      </c>
    </row>
    <row r="4" spans="1:2" x14ac:dyDescent="0.35">
      <c r="A4" s="17" t="s">
        <v>15</v>
      </c>
      <c r="B4" s="1">
        <v>14700</v>
      </c>
    </row>
    <row r="5" spans="1:2" x14ac:dyDescent="0.35">
      <c r="A5" s="17" t="s">
        <v>13</v>
      </c>
      <c r="B5" s="1">
        <v>86000</v>
      </c>
    </row>
    <row r="6" spans="1:2" x14ac:dyDescent="0.35">
      <c r="A6" s="17" t="s">
        <v>14</v>
      </c>
      <c r="B6" s="1">
        <v>63000</v>
      </c>
    </row>
    <row r="7" spans="1:2" x14ac:dyDescent="0.35">
      <c r="A7" s="17" t="s">
        <v>16</v>
      </c>
      <c r="B7" s="1">
        <v>5900</v>
      </c>
    </row>
    <row r="8" spans="1:2" x14ac:dyDescent="0.35">
      <c r="A8" s="17" t="s">
        <v>17</v>
      </c>
      <c r="B8" s="1">
        <v>3000</v>
      </c>
    </row>
    <row r="9" spans="1:2" x14ac:dyDescent="0.35">
      <c r="A9" s="17" t="s">
        <v>43</v>
      </c>
      <c r="B9" s="1">
        <v>172600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C233C-AAE2-435B-8A21-01D10B1D40B7}">
  <dimension ref="A3:B9"/>
  <sheetViews>
    <sheetView workbookViewId="0">
      <selection activeCell="B4" sqref="B4"/>
    </sheetView>
  </sheetViews>
  <sheetFormatPr defaultRowHeight="14.5" x14ac:dyDescent="0.35"/>
  <cols>
    <col min="1" max="1" width="12.36328125" bestFit="1" customWidth="1"/>
    <col min="2" max="2" width="18.7265625" bestFit="1" customWidth="1"/>
  </cols>
  <sheetData>
    <row r="3" spans="1:2" x14ac:dyDescent="0.35">
      <c r="A3" s="16" t="s">
        <v>42</v>
      </c>
      <c r="B3" t="s">
        <v>44</v>
      </c>
    </row>
    <row r="4" spans="1:2" x14ac:dyDescent="0.35">
      <c r="A4" s="17" t="s">
        <v>22</v>
      </c>
      <c r="B4" s="1">
        <v>151000</v>
      </c>
    </row>
    <row r="5" spans="1:2" x14ac:dyDescent="0.35">
      <c r="A5" s="17" t="s">
        <v>18</v>
      </c>
      <c r="B5" s="1">
        <v>145000</v>
      </c>
    </row>
    <row r="6" spans="1:2" x14ac:dyDescent="0.35">
      <c r="A6" s="17" t="s">
        <v>26</v>
      </c>
      <c r="B6" s="1">
        <v>128250</v>
      </c>
    </row>
    <row r="7" spans="1:2" x14ac:dyDescent="0.35">
      <c r="A7" s="17" t="s">
        <v>27</v>
      </c>
      <c r="B7" s="1">
        <v>121000</v>
      </c>
    </row>
    <row r="8" spans="1:2" x14ac:dyDescent="0.35">
      <c r="A8" s="17" t="s">
        <v>23</v>
      </c>
      <c r="B8" s="1">
        <v>120000</v>
      </c>
    </row>
    <row r="9" spans="1:2" x14ac:dyDescent="0.35">
      <c r="A9" s="17" t="s">
        <v>43</v>
      </c>
      <c r="B9" s="1">
        <v>665250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2D70D-3537-4FB2-B689-6CF86877A2C9}">
  <dimension ref="A2:S3"/>
  <sheetViews>
    <sheetView topLeftCell="A12" workbookViewId="0">
      <selection activeCell="A2" sqref="A2:S3"/>
    </sheetView>
  </sheetViews>
  <sheetFormatPr defaultRowHeight="14.5" x14ac:dyDescent="0.35"/>
  <sheetData>
    <row r="2" spans="1:19" x14ac:dyDescent="0.35">
      <c r="A2" s="21" t="s">
        <v>52</v>
      </c>
      <c r="B2" s="22"/>
      <c r="C2" s="22"/>
      <c r="D2" s="22"/>
      <c r="E2" s="22"/>
      <c r="F2" s="22"/>
      <c r="G2" s="22"/>
      <c r="H2" s="22"/>
      <c r="I2" s="22"/>
      <c r="J2" s="22"/>
      <c r="K2" s="22"/>
      <c r="L2" s="22"/>
      <c r="M2" s="22"/>
      <c r="N2" s="22"/>
      <c r="O2" s="22"/>
      <c r="P2" s="22"/>
      <c r="Q2" s="22"/>
      <c r="R2" s="22"/>
      <c r="S2" s="22"/>
    </row>
    <row r="3" spans="1:19" x14ac:dyDescent="0.35">
      <c r="A3" s="22"/>
      <c r="B3" s="22"/>
      <c r="C3" s="22"/>
      <c r="D3" s="22"/>
      <c r="E3" s="22"/>
      <c r="F3" s="22"/>
      <c r="G3" s="22"/>
      <c r="H3" s="22"/>
      <c r="I3" s="22"/>
      <c r="J3" s="22"/>
      <c r="K3" s="22"/>
      <c r="L3" s="22"/>
      <c r="M3" s="22"/>
      <c r="N3" s="22"/>
      <c r="O3" s="22"/>
      <c r="P3" s="22"/>
      <c r="Q3" s="22"/>
      <c r="R3" s="22"/>
      <c r="S3" s="22"/>
    </row>
  </sheetData>
  <mergeCells count="1">
    <mergeCell ref="A2:S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BFA23-B72A-4A73-97F9-A066606EC49A}">
  <dimension ref="A2:K32"/>
  <sheetViews>
    <sheetView tabSelected="1" topLeftCell="A2" zoomScale="120" zoomScaleNormal="120" workbookViewId="0">
      <selection activeCell="H7" sqref="H7"/>
    </sheetView>
  </sheetViews>
  <sheetFormatPr defaultRowHeight="14.5" x14ac:dyDescent="0.35"/>
  <cols>
    <col min="1" max="1" width="10.08984375" style="3" bestFit="1" customWidth="1"/>
    <col min="2" max="2" width="10.90625" style="9" bestFit="1" customWidth="1"/>
    <col min="3" max="3" width="8.7265625" style="11"/>
    <col min="4" max="4" width="15.1796875" style="11" bestFit="1" customWidth="1"/>
    <col min="5" max="5" width="12.6328125" style="11" bestFit="1" customWidth="1"/>
    <col min="6" max="6" width="8.7265625" style="15"/>
    <col min="7" max="7" width="10.26953125" style="13" bestFit="1" customWidth="1"/>
    <col min="8" max="8" width="8.7265625" style="4"/>
    <col min="9" max="9" width="12.1796875" style="13" bestFit="1" customWidth="1"/>
    <col min="10" max="10" width="10.26953125" style="13" bestFit="1" customWidth="1"/>
    <col min="11" max="11" width="11.90625" style="4" bestFit="1" customWidth="1"/>
  </cols>
  <sheetData>
    <row r="2" spans="1:11" x14ac:dyDescent="0.35">
      <c r="A2" s="7" t="s">
        <v>0</v>
      </c>
      <c r="B2" s="8" t="s">
        <v>40</v>
      </c>
      <c r="C2" s="10" t="s">
        <v>1</v>
      </c>
      <c r="D2" s="10" t="s">
        <v>2</v>
      </c>
      <c r="E2" s="10" t="s">
        <v>3</v>
      </c>
      <c r="F2" s="14" t="s">
        <v>4</v>
      </c>
      <c r="G2" s="12" t="s">
        <v>5</v>
      </c>
      <c r="H2" s="2" t="s">
        <v>6</v>
      </c>
      <c r="I2" s="12" t="s">
        <v>7</v>
      </c>
      <c r="J2" s="12" t="s">
        <v>8</v>
      </c>
      <c r="K2" s="2" t="s">
        <v>41</v>
      </c>
    </row>
    <row r="3" spans="1:11" x14ac:dyDescent="0.35">
      <c r="A3" s="3">
        <v>45293</v>
      </c>
      <c r="B3" s="9" t="str">
        <f>TEXT(A3, "MMM-YYYY")</f>
        <v>Jan-2024</v>
      </c>
      <c r="C3" s="11" t="s">
        <v>9</v>
      </c>
      <c r="D3" s="11" t="s">
        <v>13</v>
      </c>
      <c r="E3" s="11" t="s">
        <v>18</v>
      </c>
      <c r="F3" s="15">
        <v>2</v>
      </c>
      <c r="G3" s="13">
        <v>50000</v>
      </c>
      <c r="H3" s="5">
        <v>0.1</v>
      </c>
      <c r="I3" s="13">
        <v>90000</v>
      </c>
      <c r="J3" s="13">
        <v>12000</v>
      </c>
      <c r="K3" s="6">
        <f>IFERROR(J3/I3, FALSE)</f>
        <v>0.13333333333333333</v>
      </c>
    </row>
    <row r="4" spans="1:11" x14ac:dyDescent="0.35">
      <c r="A4" s="3">
        <v>45296</v>
      </c>
      <c r="B4" s="9" t="str">
        <f t="shared" ref="B4:B31" si="0">TEXT(A4, "MMM-YYYY")</f>
        <v>Jan-2024</v>
      </c>
      <c r="C4" s="11" t="s">
        <v>10</v>
      </c>
      <c r="D4" s="11" t="s">
        <v>14</v>
      </c>
      <c r="E4" s="11" t="s">
        <v>19</v>
      </c>
      <c r="F4" s="15">
        <v>5</v>
      </c>
      <c r="G4" s="13">
        <v>2500</v>
      </c>
      <c r="H4" s="5">
        <v>0</v>
      </c>
      <c r="I4" s="13">
        <v>12500</v>
      </c>
      <c r="J4" s="13">
        <v>3500</v>
      </c>
      <c r="K4" s="6">
        <f t="shared" ref="K4:K32" si="1">IFERROR(J4/I4, FALSE)</f>
        <v>0.28000000000000003</v>
      </c>
    </row>
    <row r="5" spans="1:11" x14ac:dyDescent="0.35">
      <c r="A5" s="3">
        <v>45299</v>
      </c>
      <c r="B5" s="9" t="str">
        <f t="shared" si="0"/>
        <v>Jan-2024</v>
      </c>
      <c r="C5" s="11" t="s">
        <v>12</v>
      </c>
      <c r="D5" s="11" t="s">
        <v>15</v>
      </c>
      <c r="E5" s="11" t="s">
        <v>20</v>
      </c>
      <c r="F5" s="15">
        <v>3</v>
      </c>
      <c r="G5" s="13">
        <v>2000</v>
      </c>
      <c r="H5" s="5">
        <v>0.05</v>
      </c>
      <c r="I5" s="13">
        <v>5700</v>
      </c>
      <c r="J5" s="13">
        <v>1800</v>
      </c>
      <c r="K5" s="6">
        <f t="shared" si="1"/>
        <v>0.31578947368421051</v>
      </c>
    </row>
    <row r="6" spans="1:11" x14ac:dyDescent="0.35">
      <c r="A6" s="3">
        <v>45303</v>
      </c>
      <c r="B6" s="9" t="str">
        <f t="shared" si="0"/>
        <v>Jan-2024</v>
      </c>
      <c r="C6" s="11" t="s">
        <v>11</v>
      </c>
      <c r="D6" s="11" t="s">
        <v>16</v>
      </c>
      <c r="E6" s="11" t="s">
        <v>21</v>
      </c>
      <c r="F6" s="15">
        <v>10</v>
      </c>
      <c r="G6" s="13">
        <v>800</v>
      </c>
      <c r="H6" s="5">
        <v>0</v>
      </c>
      <c r="I6" s="13">
        <v>8000</v>
      </c>
      <c r="J6" s="13">
        <v>1200</v>
      </c>
      <c r="K6" s="6">
        <f t="shared" si="1"/>
        <v>0.15</v>
      </c>
    </row>
    <row r="7" spans="1:11" x14ac:dyDescent="0.35">
      <c r="A7" s="3">
        <v>45306</v>
      </c>
      <c r="B7" s="9" t="str">
        <f t="shared" si="0"/>
        <v>Jan-2024</v>
      </c>
      <c r="C7" s="11" t="s">
        <v>9</v>
      </c>
      <c r="D7" s="11" t="s">
        <v>13</v>
      </c>
      <c r="E7" s="11" t="s">
        <v>22</v>
      </c>
      <c r="F7" s="15">
        <v>4</v>
      </c>
      <c r="G7" s="13">
        <v>20000</v>
      </c>
      <c r="H7" s="6">
        <v>0.05</v>
      </c>
      <c r="I7" s="13">
        <v>76000</v>
      </c>
      <c r="J7" s="13">
        <v>15000</v>
      </c>
      <c r="K7" s="6">
        <f t="shared" si="1"/>
        <v>0.19736842105263158</v>
      </c>
    </row>
    <row r="8" spans="1:11" x14ac:dyDescent="0.35">
      <c r="A8" s="3">
        <v>45311</v>
      </c>
      <c r="B8" s="9" t="str">
        <f t="shared" si="0"/>
        <v>Jan-2024</v>
      </c>
      <c r="C8" s="11" t="s">
        <v>10</v>
      </c>
      <c r="D8" s="11" t="s">
        <v>14</v>
      </c>
      <c r="E8" s="11" t="s">
        <v>23</v>
      </c>
      <c r="F8" s="15">
        <v>2</v>
      </c>
      <c r="G8" s="13">
        <v>30000</v>
      </c>
      <c r="H8" s="5">
        <v>0</v>
      </c>
      <c r="I8" s="13">
        <v>60000</v>
      </c>
      <c r="J8" s="13">
        <v>12000</v>
      </c>
      <c r="K8" s="6">
        <f t="shared" si="1"/>
        <v>0.2</v>
      </c>
    </row>
    <row r="9" spans="1:11" x14ac:dyDescent="0.35">
      <c r="A9" s="3">
        <v>45316</v>
      </c>
      <c r="B9" s="9" t="str">
        <f t="shared" si="0"/>
        <v>Jan-2024</v>
      </c>
      <c r="C9" s="11" t="s">
        <v>12</v>
      </c>
      <c r="D9" s="11" t="s">
        <v>15</v>
      </c>
      <c r="E9" s="11" t="s">
        <v>24</v>
      </c>
      <c r="F9" s="15">
        <v>6</v>
      </c>
      <c r="G9" s="13">
        <v>1500</v>
      </c>
      <c r="H9" s="5">
        <v>0.1</v>
      </c>
      <c r="I9" s="13">
        <v>8100</v>
      </c>
      <c r="J9" s="13">
        <v>2400</v>
      </c>
      <c r="K9" s="6">
        <f t="shared" si="1"/>
        <v>0.29629629629629628</v>
      </c>
    </row>
    <row r="10" spans="1:11" x14ac:dyDescent="0.35">
      <c r="A10" s="3">
        <v>45321</v>
      </c>
      <c r="B10" s="9" t="str">
        <f t="shared" si="0"/>
        <v>Jan-2024</v>
      </c>
      <c r="C10" s="11" t="s">
        <v>11</v>
      </c>
      <c r="D10" s="11" t="s">
        <v>17</v>
      </c>
      <c r="E10" s="11" t="s">
        <v>25</v>
      </c>
      <c r="F10" s="15">
        <v>12</v>
      </c>
      <c r="G10" s="13">
        <v>300</v>
      </c>
      <c r="H10" s="5">
        <v>0</v>
      </c>
      <c r="I10" s="13">
        <v>3600</v>
      </c>
      <c r="J10" s="13">
        <v>1000</v>
      </c>
      <c r="K10" s="6">
        <f t="shared" si="1"/>
        <v>0.27777777777777779</v>
      </c>
    </row>
    <row r="11" spans="1:11" x14ac:dyDescent="0.35">
      <c r="A11" s="3">
        <v>45326</v>
      </c>
      <c r="B11" s="9" t="str">
        <f t="shared" si="0"/>
        <v>Feb-2024</v>
      </c>
      <c r="C11" s="11" t="s">
        <v>9</v>
      </c>
      <c r="D11" s="11" t="s">
        <v>13</v>
      </c>
      <c r="E11" s="11" t="s">
        <v>26</v>
      </c>
      <c r="F11" s="15">
        <v>3</v>
      </c>
      <c r="G11" s="13">
        <v>25000</v>
      </c>
      <c r="H11" s="5">
        <v>0.05</v>
      </c>
      <c r="I11" s="13">
        <v>71250</v>
      </c>
      <c r="J11" s="13">
        <v>14000</v>
      </c>
      <c r="K11" s="6">
        <f t="shared" si="1"/>
        <v>0.19649122807017544</v>
      </c>
    </row>
    <row r="12" spans="1:11" x14ac:dyDescent="0.35">
      <c r="A12" s="3">
        <v>45330</v>
      </c>
      <c r="B12" s="9" t="str">
        <f t="shared" si="0"/>
        <v>Feb-2024</v>
      </c>
      <c r="C12" s="11" t="s">
        <v>10</v>
      </c>
      <c r="D12" s="11" t="s">
        <v>14</v>
      </c>
      <c r="E12" s="11" t="s">
        <v>27</v>
      </c>
      <c r="F12" s="15">
        <v>1</v>
      </c>
      <c r="G12" s="13">
        <v>45000</v>
      </c>
      <c r="H12" s="5">
        <v>0</v>
      </c>
      <c r="I12" s="13">
        <v>45000</v>
      </c>
      <c r="J12" s="13">
        <v>9000</v>
      </c>
      <c r="K12" s="6">
        <f t="shared" si="1"/>
        <v>0.2</v>
      </c>
    </row>
    <row r="13" spans="1:11" x14ac:dyDescent="0.35">
      <c r="A13" s="3">
        <v>45334</v>
      </c>
      <c r="B13" s="9" t="str">
        <f t="shared" si="0"/>
        <v>Feb-2024</v>
      </c>
      <c r="C13" s="11" t="s">
        <v>12</v>
      </c>
      <c r="D13" s="11" t="s">
        <v>16</v>
      </c>
      <c r="E13" s="11" t="s">
        <v>28</v>
      </c>
      <c r="F13" s="15">
        <v>8</v>
      </c>
      <c r="G13" s="13">
        <v>400</v>
      </c>
      <c r="H13" s="5">
        <v>0</v>
      </c>
      <c r="I13" s="13">
        <v>3200</v>
      </c>
      <c r="J13" s="13">
        <v>700</v>
      </c>
      <c r="K13" s="6">
        <f t="shared" si="1"/>
        <v>0.21875</v>
      </c>
    </row>
    <row r="14" spans="1:11" x14ac:dyDescent="0.35">
      <c r="A14" s="3">
        <v>45337</v>
      </c>
      <c r="B14" s="9" t="str">
        <f t="shared" si="0"/>
        <v>Feb-2024</v>
      </c>
      <c r="C14" s="11" t="s">
        <v>11</v>
      </c>
      <c r="D14" s="11" t="s">
        <v>15</v>
      </c>
      <c r="E14" s="11" t="s">
        <v>29</v>
      </c>
      <c r="F14" s="15">
        <v>5</v>
      </c>
      <c r="G14" s="13">
        <v>1200</v>
      </c>
      <c r="H14" s="5">
        <v>0</v>
      </c>
      <c r="I14" s="13">
        <v>6000</v>
      </c>
      <c r="J14" s="13">
        <v>2000</v>
      </c>
      <c r="K14" s="6">
        <f t="shared" si="1"/>
        <v>0.33333333333333331</v>
      </c>
    </row>
    <row r="15" spans="1:11" x14ac:dyDescent="0.35">
      <c r="A15" s="3">
        <v>45340</v>
      </c>
      <c r="B15" s="9" t="str">
        <f t="shared" si="0"/>
        <v>Feb-2024</v>
      </c>
      <c r="C15" s="11" t="s">
        <v>9</v>
      </c>
      <c r="D15" s="11" t="s">
        <v>13</v>
      </c>
      <c r="E15" s="11" t="s">
        <v>30</v>
      </c>
      <c r="F15" s="15">
        <v>4</v>
      </c>
      <c r="G15" s="13">
        <v>8000</v>
      </c>
      <c r="H15" s="5">
        <v>0.1</v>
      </c>
      <c r="I15" s="13">
        <v>28800</v>
      </c>
      <c r="J15" s="13">
        <v>6000</v>
      </c>
      <c r="K15" s="6">
        <f t="shared" si="1"/>
        <v>0.20833333333333334</v>
      </c>
    </row>
    <row r="16" spans="1:11" x14ac:dyDescent="0.35">
      <c r="A16" s="3">
        <v>45344</v>
      </c>
      <c r="B16" s="9" t="str">
        <f t="shared" si="0"/>
        <v>Feb-2024</v>
      </c>
      <c r="C16" s="11" t="s">
        <v>10</v>
      </c>
      <c r="D16" s="11" t="s">
        <v>14</v>
      </c>
      <c r="E16" s="11" t="s">
        <v>31</v>
      </c>
      <c r="F16" s="15">
        <v>3</v>
      </c>
      <c r="G16" s="13">
        <v>5000</v>
      </c>
      <c r="H16" s="5">
        <v>0</v>
      </c>
      <c r="I16" s="13">
        <v>15000</v>
      </c>
      <c r="J16" s="13">
        <v>3500</v>
      </c>
      <c r="K16" s="6">
        <f t="shared" si="1"/>
        <v>0.23333333333333334</v>
      </c>
    </row>
    <row r="17" spans="1:11" x14ac:dyDescent="0.35">
      <c r="A17" s="3">
        <v>45348</v>
      </c>
      <c r="B17" s="9" t="str">
        <f t="shared" si="0"/>
        <v>Feb-2024</v>
      </c>
      <c r="C17" s="11" t="s">
        <v>12</v>
      </c>
      <c r="D17" s="11" t="s">
        <v>15</v>
      </c>
      <c r="E17" s="11" t="s">
        <v>32</v>
      </c>
      <c r="F17" s="15">
        <v>7</v>
      </c>
      <c r="G17" s="13">
        <v>2500</v>
      </c>
      <c r="H17" s="5">
        <v>0.05</v>
      </c>
      <c r="I17" s="13">
        <v>16625</v>
      </c>
      <c r="J17" s="13">
        <v>4800</v>
      </c>
      <c r="K17" s="6">
        <f t="shared" si="1"/>
        <v>0.28872180451127821</v>
      </c>
    </row>
    <row r="18" spans="1:11" x14ac:dyDescent="0.35">
      <c r="A18" s="3">
        <v>45352</v>
      </c>
      <c r="B18" s="9" t="str">
        <f t="shared" si="0"/>
        <v>Mar-2024</v>
      </c>
      <c r="C18" s="11" t="s">
        <v>11</v>
      </c>
      <c r="D18" s="11" t="s">
        <v>16</v>
      </c>
      <c r="E18" s="11" t="s">
        <v>33</v>
      </c>
      <c r="F18" s="15">
        <v>15</v>
      </c>
      <c r="G18" s="13">
        <v>300</v>
      </c>
      <c r="H18" s="5">
        <v>0</v>
      </c>
      <c r="I18" s="13">
        <v>4500</v>
      </c>
      <c r="J18" s="13">
        <v>800</v>
      </c>
      <c r="K18" s="6">
        <f t="shared" si="1"/>
        <v>0.17777777777777778</v>
      </c>
    </row>
    <row r="19" spans="1:11" x14ac:dyDescent="0.35">
      <c r="A19" s="3">
        <v>45355</v>
      </c>
      <c r="B19" s="9" t="str">
        <f t="shared" si="0"/>
        <v>Mar-2024</v>
      </c>
      <c r="C19" s="11" t="s">
        <v>9</v>
      </c>
      <c r="D19" s="11" t="s">
        <v>13</v>
      </c>
      <c r="E19" s="11" t="s">
        <v>18</v>
      </c>
      <c r="F19" s="15">
        <v>1</v>
      </c>
      <c r="G19" s="13">
        <v>55000</v>
      </c>
      <c r="H19" s="5">
        <v>0</v>
      </c>
      <c r="I19" s="13">
        <v>55000</v>
      </c>
      <c r="J19" s="13">
        <v>10000</v>
      </c>
      <c r="K19" s="6">
        <f t="shared" si="1"/>
        <v>0.18181818181818182</v>
      </c>
    </row>
    <row r="20" spans="1:11" x14ac:dyDescent="0.35">
      <c r="A20" s="3">
        <v>45359</v>
      </c>
      <c r="B20" s="9" t="str">
        <f t="shared" si="0"/>
        <v>Mar-2024</v>
      </c>
      <c r="C20" s="11" t="s">
        <v>10</v>
      </c>
      <c r="D20" s="11" t="s">
        <v>14</v>
      </c>
      <c r="E20" s="11" t="s">
        <v>34</v>
      </c>
      <c r="F20" s="15">
        <v>2</v>
      </c>
      <c r="G20" s="13">
        <v>10000</v>
      </c>
      <c r="H20" s="5">
        <v>0</v>
      </c>
      <c r="I20" s="13">
        <v>20000</v>
      </c>
      <c r="J20" s="13">
        <v>5000</v>
      </c>
      <c r="K20" s="6">
        <f t="shared" si="1"/>
        <v>0.25</v>
      </c>
    </row>
    <row r="21" spans="1:11" x14ac:dyDescent="0.35">
      <c r="A21" s="3">
        <v>45363</v>
      </c>
      <c r="B21" s="9" t="str">
        <f t="shared" si="0"/>
        <v>Mar-2024</v>
      </c>
      <c r="C21" s="11" t="s">
        <v>12</v>
      </c>
      <c r="D21" s="11" t="s">
        <v>15</v>
      </c>
      <c r="E21" s="11" t="s">
        <v>35</v>
      </c>
      <c r="F21" s="15">
        <v>10</v>
      </c>
      <c r="G21" s="13">
        <v>600</v>
      </c>
      <c r="H21" s="5">
        <v>0</v>
      </c>
      <c r="I21" s="13">
        <v>6000</v>
      </c>
      <c r="J21" s="13">
        <v>1800</v>
      </c>
      <c r="K21" s="6">
        <f t="shared" si="1"/>
        <v>0.3</v>
      </c>
    </row>
    <row r="22" spans="1:11" x14ac:dyDescent="0.35">
      <c r="A22" s="3">
        <v>45367</v>
      </c>
      <c r="B22" s="9" t="str">
        <f t="shared" si="0"/>
        <v>Mar-2024</v>
      </c>
      <c r="C22" s="11" t="s">
        <v>11</v>
      </c>
      <c r="D22" s="11" t="s">
        <v>16</v>
      </c>
      <c r="E22" s="11" t="s">
        <v>36</v>
      </c>
      <c r="F22" s="15">
        <v>2</v>
      </c>
      <c r="G22" s="13">
        <v>2500</v>
      </c>
      <c r="H22" s="5">
        <v>0.1</v>
      </c>
      <c r="I22" s="13">
        <v>4500</v>
      </c>
      <c r="J22" s="13">
        <v>1500</v>
      </c>
      <c r="K22" s="6">
        <f t="shared" si="1"/>
        <v>0.33333333333333331</v>
      </c>
    </row>
    <row r="23" spans="1:11" x14ac:dyDescent="0.35">
      <c r="A23" s="3">
        <v>45371</v>
      </c>
      <c r="B23" s="9" t="str">
        <f t="shared" si="0"/>
        <v>Mar-2024</v>
      </c>
      <c r="C23" s="11" t="s">
        <v>9</v>
      </c>
      <c r="D23" s="11" t="s">
        <v>13</v>
      </c>
      <c r="E23" s="11" t="s">
        <v>37</v>
      </c>
      <c r="F23" s="15">
        <v>5</v>
      </c>
      <c r="G23" s="13">
        <v>3000</v>
      </c>
      <c r="H23" s="5">
        <v>0</v>
      </c>
      <c r="I23" s="13">
        <v>15000</v>
      </c>
      <c r="J23" s="13">
        <v>4000</v>
      </c>
      <c r="K23" s="6">
        <f t="shared" si="1"/>
        <v>0.26666666666666666</v>
      </c>
    </row>
    <row r="24" spans="1:11" x14ac:dyDescent="0.35">
      <c r="A24" s="3">
        <v>45375</v>
      </c>
      <c r="B24" s="9" t="str">
        <f t="shared" si="0"/>
        <v>Mar-2024</v>
      </c>
      <c r="C24" s="11" t="s">
        <v>10</v>
      </c>
      <c r="D24" s="11" t="s">
        <v>14</v>
      </c>
      <c r="E24" s="11" t="s">
        <v>27</v>
      </c>
      <c r="F24" s="15">
        <v>2</v>
      </c>
      <c r="G24" s="13">
        <v>40000</v>
      </c>
      <c r="H24" s="5">
        <v>0.05</v>
      </c>
      <c r="I24" s="13">
        <v>76000</v>
      </c>
      <c r="J24" s="13">
        <v>14000</v>
      </c>
      <c r="K24" s="6">
        <f t="shared" si="1"/>
        <v>0.18421052631578946</v>
      </c>
    </row>
    <row r="25" spans="1:11" x14ac:dyDescent="0.35">
      <c r="A25" s="3">
        <v>45379</v>
      </c>
      <c r="B25" s="9" t="str">
        <f t="shared" si="0"/>
        <v>Mar-2024</v>
      </c>
      <c r="C25" s="11" t="s">
        <v>12</v>
      </c>
      <c r="D25" s="11" t="s">
        <v>15</v>
      </c>
      <c r="E25" s="11" t="s">
        <v>38</v>
      </c>
      <c r="F25" s="15">
        <v>5</v>
      </c>
      <c r="G25" s="13">
        <v>1000</v>
      </c>
      <c r="H25" s="5">
        <v>0</v>
      </c>
      <c r="I25" s="13">
        <v>5000</v>
      </c>
      <c r="J25" s="13">
        <v>900</v>
      </c>
      <c r="K25" s="6">
        <f t="shared" si="1"/>
        <v>0.18</v>
      </c>
    </row>
    <row r="26" spans="1:11" x14ac:dyDescent="0.35">
      <c r="A26" s="3">
        <v>45383</v>
      </c>
      <c r="B26" s="9" t="str">
        <f t="shared" si="0"/>
        <v>Apr-2024</v>
      </c>
      <c r="C26" s="11" t="s">
        <v>11</v>
      </c>
      <c r="D26" s="11" t="s">
        <v>17</v>
      </c>
      <c r="E26" s="11" t="s">
        <v>20</v>
      </c>
      <c r="F26" s="15">
        <v>2</v>
      </c>
      <c r="G26" s="13">
        <v>3000</v>
      </c>
      <c r="H26" s="5">
        <v>0</v>
      </c>
      <c r="I26" s="13">
        <v>6000</v>
      </c>
      <c r="J26" s="13">
        <v>2000</v>
      </c>
      <c r="K26" s="6">
        <f t="shared" si="1"/>
        <v>0.33333333333333331</v>
      </c>
    </row>
    <row r="27" spans="1:11" x14ac:dyDescent="0.35">
      <c r="A27" s="3">
        <v>45387</v>
      </c>
      <c r="B27" s="9" t="str">
        <f t="shared" si="0"/>
        <v>Apr-2024</v>
      </c>
      <c r="C27" s="11" t="s">
        <v>9</v>
      </c>
      <c r="D27" s="11" t="s">
        <v>13</v>
      </c>
      <c r="E27" s="11" t="s">
        <v>22</v>
      </c>
      <c r="F27" s="15">
        <v>3</v>
      </c>
      <c r="G27" s="13">
        <v>25000</v>
      </c>
      <c r="H27" s="5">
        <v>0</v>
      </c>
      <c r="I27" s="13">
        <v>75000</v>
      </c>
      <c r="J27" s="13">
        <v>14000</v>
      </c>
      <c r="K27" s="6">
        <f t="shared" si="1"/>
        <v>0.18666666666666668</v>
      </c>
    </row>
    <row r="28" spans="1:11" x14ac:dyDescent="0.35">
      <c r="A28" s="3">
        <v>45391</v>
      </c>
      <c r="B28" s="9" t="str">
        <f t="shared" si="0"/>
        <v>Apr-2024</v>
      </c>
      <c r="C28" s="11" t="s">
        <v>10</v>
      </c>
      <c r="D28" s="11" t="s">
        <v>14</v>
      </c>
      <c r="E28" s="11" t="s">
        <v>23</v>
      </c>
      <c r="F28" s="15">
        <v>1</v>
      </c>
      <c r="G28" s="13">
        <v>60000</v>
      </c>
      <c r="H28" s="5">
        <v>0</v>
      </c>
      <c r="I28" s="13">
        <v>60000</v>
      </c>
      <c r="J28" s="13">
        <v>12000</v>
      </c>
      <c r="K28" s="6">
        <f t="shared" si="1"/>
        <v>0.2</v>
      </c>
    </row>
    <row r="29" spans="1:11" x14ac:dyDescent="0.35">
      <c r="A29" s="3">
        <v>45395</v>
      </c>
      <c r="B29" s="9" t="str">
        <f t="shared" si="0"/>
        <v>Apr-2024</v>
      </c>
      <c r="C29" s="11" t="s">
        <v>12</v>
      </c>
      <c r="D29" s="11" t="s">
        <v>16</v>
      </c>
      <c r="E29" s="11" t="s">
        <v>29</v>
      </c>
      <c r="F29" s="15">
        <v>4</v>
      </c>
      <c r="G29" s="13">
        <v>1500</v>
      </c>
      <c r="H29" s="5">
        <v>0.1</v>
      </c>
      <c r="I29" s="13">
        <v>5400</v>
      </c>
      <c r="J29" s="13">
        <v>1700</v>
      </c>
      <c r="K29" s="6">
        <f t="shared" si="1"/>
        <v>0.31481481481481483</v>
      </c>
    </row>
    <row r="30" spans="1:11" x14ac:dyDescent="0.35">
      <c r="A30" s="3">
        <v>45399</v>
      </c>
      <c r="B30" s="9" t="str">
        <f t="shared" si="0"/>
        <v>Apr-2024</v>
      </c>
      <c r="C30" s="11" t="s">
        <v>11</v>
      </c>
      <c r="D30" s="11" t="s">
        <v>15</v>
      </c>
      <c r="E30" s="11" t="s">
        <v>39</v>
      </c>
      <c r="F30" s="15">
        <v>12</v>
      </c>
      <c r="G30" s="13">
        <v>500</v>
      </c>
      <c r="H30" s="5">
        <v>0</v>
      </c>
      <c r="I30" s="13">
        <v>6000</v>
      </c>
      <c r="J30" s="13">
        <v>1000</v>
      </c>
      <c r="K30" s="6">
        <f t="shared" si="1"/>
        <v>0.16666666666666666</v>
      </c>
    </row>
    <row r="31" spans="1:11" x14ac:dyDescent="0.35">
      <c r="A31" s="3">
        <v>45403</v>
      </c>
      <c r="B31" s="9" t="str">
        <f t="shared" si="0"/>
        <v>Apr-2024</v>
      </c>
      <c r="C31" s="11" t="s">
        <v>9</v>
      </c>
      <c r="D31" s="11" t="s">
        <v>13</v>
      </c>
      <c r="E31" s="11" t="s">
        <v>26</v>
      </c>
      <c r="F31" s="15">
        <v>2</v>
      </c>
      <c r="G31" s="13">
        <v>30000</v>
      </c>
      <c r="H31" s="5">
        <v>0.05</v>
      </c>
      <c r="I31" s="13">
        <v>57000</v>
      </c>
      <c r="J31" s="13">
        <v>11000</v>
      </c>
      <c r="K31" s="6">
        <f t="shared" si="1"/>
        <v>0.19298245614035087</v>
      </c>
    </row>
    <row r="32" spans="1:11" x14ac:dyDescent="0.35">
      <c r="A32" s="3">
        <v>45407</v>
      </c>
      <c r="B32" s="9" t="str">
        <f>TEXT(A32, "MMM-YYYY")</f>
        <v>Apr-2024</v>
      </c>
      <c r="C32" s="11" t="s">
        <v>10</v>
      </c>
      <c r="D32" s="11" t="s">
        <v>14</v>
      </c>
      <c r="E32" s="11" t="s">
        <v>19</v>
      </c>
      <c r="F32" s="15">
        <v>6</v>
      </c>
      <c r="G32" s="13">
        <v>3000</v>
      </c>
      <c r="H32" s="5">
        <v>0</v>
      </c>
      <c r="I32" s="13">
        <v>18000</v>
      </c>
      <c r="J32" s="13">
        <v>4000</v>
      </c>
      <c r="K32" s="6">
        <f t="shared" si="1"/>
        <v>0.22222222222222221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 by Region</vt:lpstr>
      <vt:lpstr>Sales by Category</vt:lpstr>
      <vt:lpstr>Monthly Sales</vt:lpstr>
      <vt:lpstr>Profit by Category</vt:lpstr>
      <vt:lpstr>Top 5 products by sales</vt:lpstr>
      <vt:lpstr>Dashboard</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Siddhesh Patil</dc:creator>
  <cp:lastModifiedBy>Siddhesh Patil</cp:lastModifiedBy>
  <dcterms:created xsi:type="dcterms:W3CDTF">2025-09-08T08:16:17Z</dcterms:created>
  <dcterms:modified xsi:type="dcterms:W3CDTF">2025-11-14T16:23:45Z</dcterms:modified>
</cp:coreProperties>
</file>